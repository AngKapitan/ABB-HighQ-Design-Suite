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rsacjp-my.sharepoint.com/personal/mc_90h_3794_s_thers_ac_jp/Documents/ABB - SANREX Corporation/PLECS Simulations/"/>
    </mc:Choice>
  </mc:AlternateContent>
  <xr:revisionPtr revIDLastSave="39" documentId="13_ncr:1_{06C8B92E-796A-4FDD-A070-1CB3BE9B6A0E}" xr6:coauthVersionLast="47" xr6:coauthVersionMax="47" xr10:uidLastSave="{99D185E8-7A59-488F-A1CD-34B91BFD2838}"/>
  <bookViews>
    <workbookView xWindow="-120" yWindow="-120" windowWidth="29040" windowHeight="15720" activeTab="2" xr2:uid="{7130CE55-054D-4E8D-9BD9-9C1EE3A6FBEB}"/>
  </bookViews>
  <sheets>
    <sheet name="100k" sheetId="1" r:id="rId1"/>
    <sheet name="Final" sheetId="3" r:id="rId2"/>
    <sheet name="Presentation Material" sheetId="6" r:id="rId3"/>
    <sheet name="Sheet2" sheetId="2" r:id="rId4"/>
    <sheet name="Transformer Parameters 10 turns" sheetId="4" r:id="rId5"/>
    <sheet name="Transformer Parameters8 turns" sheetId="8" r:id="rId6"/>
    <sheet name="solidworks variables list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6" l="1"/>
  <c r="H2" i="4" l="1"/>
  <c r="H4" i="4"/>
  <c r="H5" i="4"/>
  <c r="D15" i="8"/>
  <c r="Q13" i="8"/>
  <c r="B40" i="8"/>
  <c r="C26" i="8"/>
  <c r="D26" i="8" s="1"/>
  <c r="J25" i="8"/>
  <c r="C25" i="8"/>
  <c r="D25" i="8" s="1"/>
  <c r="C22" i="8"/>
  <c r="C23" i="8" s="1"/>
  <c r="G21" i="8"/>
  <c r="D21" i="8"/>
  <c r="J27" i="8" s="1"/>
  <c r="C21" i="8"/>
  <c r="G20" i="8"/>
  <c r="B17" i="8"/>
  <c r="B16" i="8"/>
  <c r="L15" i="8"/>
  <c r="B15" i="8"/>
  <c r="F12" i="8"/>
  <c r="K6" i="8"/>
  <c r="C4" i="8"/>
  <c r="C5" i="8" s="1"/>
  <c r="G2" i="8" s="1"/>
  <c r="B16" i="4"/>
  <c r="B17" i="4"/>
  <c r="B15" i="4"/>
  <c r="D15" i="4"/>
  <c r="L15" i="4"/>
  <c r="E13" i="4"/>
  <c r="J21" i="4"/>
  <c r="K24" i="6"/>
  <c r="O21" i="6"/>
  <c r="B37" i="4"/>
  <c r="B40" i="4"/>
  <c r="F12" i="4"/>
  <c r="C12" i="4"/>
  <c r="C10" i="4"/>
  <c r="K6" i="4"/>
  <c r="K3" i="4"/>
  <c r="J27" i="4"/>
  <c r="J26" i="4"/>
  <c r="J25" i="4"/>
  <c r="J24" i="4"/>
  <c r="J20" i="4"/>
  <c r="J23" i="4"/>
  <c r="J22" i="4"/>
  <c r="G21" i="4"/>
  <c r="G20" i="4"/>
  <c r="D23" i="4"/>
  <c r="D24" i="4"/>
  <c r="D22" i="4"/>
  <c r="D25" i="4"/>
  <c r="D26" i="4"/>
  <c r="D21" i="4"/>
  <c r="C26" i="4"/>
  <c r="C25" i="4"/>
  <c r="C24" i="4"/>
  <c r="C23" i="4"/>
  <c r="C22" i="4"/>
  <c r="C21" i="4"/>
  <c r="C4" i="4"/>
  <c r="C5" i="4" s="1"/>
  <c r="B22" i="6"/>
  <c r="K18" i="6"/>
  <c r="K17" i="6"/>
  <c r="S16" i="6"/>
  <c r="U16" i="6" s="1"/>
  <c r="K16" i="6"/>
  <c r="B16" i="6"/>
  <c r="S15" i="6"/>
  <c r="K15" i="6"/>
  <c r="B15" i="6"/>
  <c r="S14" i="6"/>
  <c r="K14" i="6"/>
  <c r="B14" i="6"/>
  <c r="D14" i="6" s="1"/>
  <c r="H13" i="6"/>
  <c r="B13" i="6"/>
  <c r="D15" i="6" s="1"/>
  <c r="W12" i="6"/>
  <c r="S12" i="6"/>
  <c r="U14" i="6" s="1"/>
  <c r="K12" i="6"/>
  <c r="M16" i="6" s="1"/>
  <c r="F12" i="6"/>
  <c r="D12" i="6"/>
  <c r="B4" i="6"/>
  <c r="B3" i="6"/>
  <c r="D4" i="6" s="1"/>
  <c r="F2" i="6"/>
  <c r="D2" i="6"/>
  <c r="W12" i="3"/>
  <c r="O12" i="3"/>
  <c r="K15" i="3"/>
  <c r="K14" i="3"/>
  <c r="K16" i="3"/>
  <c r="E2" i="2"/>
  <c r="S16" i="3"/>
  <c r="S15" i="3"/>
  <c r="S14" i="3"/>
  <c r="B22" i="3"/>
  <c r="K12" i="3"/>
  <c r="M12" i="3" s="1"/>
  <c r="O13" i="3" s="1"/>
  <c r="H13" i="3"/>
  <c r="K24" i="3"/>
  <c r="K18" i="3"/>
  <c r="K17" i="3"/>
  <c r="F12" i="3"/>
  <c r="B16" i="3"/>
  <c r="B15" i="3"/>
  <c r="B14" i="3"/>
  <c r="B13" i="3"/>
  <c r="D12" i="3"/>
  <c r="D62" i="1"/>
  <c r="E62" i="1"/>
  <c r="F2" i="3"/>
  <c r="D2" i="3"/>
  <c r="B3" i="3"/>
  <c r="D4" i="3" s="1"/>
  <c r="B4" i="3"/>
  <c r="C3" i="2"/>
  <c r="D3" i="2" s="1"/>
  <c r="C2" i="2"/>
  <c r="D2" i="2" s="1"/>
  <c r="B63" i="1"/>
  <c r="D68" i="1" s="1"/>
  <c r="H48" i="1"/>
  <c r="D50" i="1"/>
  <c r="E50" i="1" s="1"/>
  <c r="B58" i="1"/>
  <c r="D40" i="1"/>
  <c r="B40" i="1"/>
  <c r="D29" i="1"/>
  <c r="B29" i="1"/>
  <c r="M15" i="1"/>
  <c r="B20" i="1"/>
  <c r="D20" i="1"/>
  <c r="D10" i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B2" i="1"/>
  <c r="C4" i="2"/>
  <c r="D4" i="2" s="1"/>
  <c r="K2" i="8" l="1"/>
  <c r="O4" i="8"/>
  <c r="G4" i="8"/>
  <c r="G3" i="8"/>
  <c r="G5" i="8" s="1"/>
  <c r="C24" i="8"/>
  <c r="D24" i="8" s="1"/>
  <c r="C12" i="8"/>
  <c r="D23" i="8"/>
  <c r="B37" i="8"/>
  <c r="J21" i="8"/>
  <c r="D22" i="8"/>
  <c r="J23" i="8"/>
  <c r="M17" i="6"/>
  <c r="M12" i="6"/>
  <c r="O13" i="6" s="1"/>
  <c r="P13" i="6" s="1"/>
  <c r="M18" i="6"/>
  <c r="M15" i="6"/>
  <c r="M14" i="6"/>
  <c r="G2" i="4"/>
  <c r="G4" i="4" s="1"/>
  <c r="U12" i="6"/>
  <c r="U15" i="6"/>
  <c r="D16" i="6"/>
  <c r="M14" i="3"/>
  <c r="M15" i="3"/>
  <c r="D16" i="3"/>
  <c r="M17" i="3"/>
  <c r="M16" i="3"/>
  <c r="M18" i="3"/>
  <c r="D14" i="3"/>
  <c r="D15" i="3"/>
  <c r="B64" i="1"/>
  <c r="E64" i="1" s="1"/>
  <c r="B12" i="1"/>
  <c r="B31" i="1"/>
  <c r="E4" i="2"/>
  <c r="B22" i="1"/>
  <c r="B52" i="1"/>
  <c r="B42" i="1"/>
  <c r="E10" i="2"/>
  <c r="B51" i="1"/>
  <c r="B41" i="1"/>
  <c r="B30" i="1"/>
  <c r="D35" i="1" s="1"/>
  <c r="D31" i="1"/>
  <c r="E31" i="1"/>
  <c r="B21" i="1"/>
  <c r="B3" i="1"/>
  <c r="D3" i="1" s="1"/>
  <c r="E9" i="2"/>
  <c r="E8" i="2"/>
  <c r="E7" i="2"/>
  <c r="E6" i="2"/>
  <c r="E5" i="2"/>
  <c r="D1" i="1"/>
  <c r="B10" i="1"/>
  <c r="M2" i="8" l="1"/>
  <c r="K3" i="8"/>
  <c r="J20" i="8"/>
  <c r="J26" i="8"/>
  <c r="J24" i="8"/>
  <c r="J22" i="8"/>
  <c r="E13" i="8"/>
  <c r="C10" i="8"/>
  <c r="K2" i="4"/>
  <c r="O4" i="4"/>
  <c r="G3" i="4"/>
  <c r="G5" i="4" s="1"/>
  <c r="D64" i="1"/>
  <c r="B11" i="1"/>
  <c r="D12" i="1" s="1"/>
  <c r="E52" i="1"/>
  <c r="D52" i="1"/>
  <c r="D56" i="1"/>
  <c r="D42" i="1"/>
  <c r="D46" i="1"/>
  <c r="E42" i="1"/>
  <c r="D22" i="1"/>
  <c r="E22" i="1"/>
  <c r="D26" i="1"/>
  <c r="M2" i="4" l="1"/>
  <c r="D16" i="1"/>
  <c r="S12" i="3"/>
  <c r="U14" i="3" l="1"/>
  <c r="U12" i="3"/>
  <c r="U15" i="3"/>
  <c r="U16" i="3"/>
</calcChain>
</file>

<file path=xl/sharedStrings.xml><?xml version="1.0" encoding="utf-8"?>
<sst xmlns="http://schemas.openxmlformats.org/spreadsheetml/2006/main" count="458" uniqueCount="143">
  <si>
    <t>Lr</t>
  </si>
  <si>
    <t>Cr</t>
  </si>
  <si>
    <t>Rac</t>
  </si>
  <si>
    <t>fr</t>
  </si>
  <si>
    <t>k</t>
  </si>
  <si>
    <t>Lm</t>
  </si>
  <si>
    <t>fn</t>
  </si>
  <si>
    <t>fs</t>
  </si>
  <si>
    <t>changing</t>
  </si>
  <si>
    <t>1-60k</t>
  </si>
  <si>
    <t>Q</t>
  </si>
  <si>
    <t>Po</t>
  </si>
  <si>
    <t>Vo</t>
  </si>
  <si>
    <t>Ro</t>
  </si>
  <si>
    <t>1/13/2025 with focus on Lm</t>
  </si>
  <si>
    <t>dt</t>
  </si>
  <si>
    <t>Coss</t>
  </si>
  <si>
    <t>Cw</t>
  </si>
  <si>
    <t>Lmax</t>
  </si>
  <si>
    <t>choice1</t>
  </si>
  <si>
    <t>final</t>
  </si>
  <si>
    <t>100 kW</t>
  </si>
  <si>
    <t>200 kW</t>
  </si>
  <si>
    <t>Q 100k</t>
  </si>
  <si>
    <t>Rac 100k</t>
  </si>
  <si>
    <t>Rac 200k</t>
  </si>
  <si>
    <t>Rac 300k</t>
  </si>
  <si>
    <t>Q 200k</t>
  </si>
  <si>
    <t>Q 300k</t>
  </si>
  <si>
    <t>new</t>
  </si>
  <si>
    <r>
      <t xml:space="preserve">Let's discuss using </t>
    </r>
    <r>
      <rPr>
        <b/>
        <sz val="11"/>
        <color theme="1"/>
        <rFont val="Aptos Narrow"/>
        <family val="2"/>
        <scheme val="minor"/>
      </rPr>
      <t>max power</t>
    </r>
  </si>
  <si>
    <t>Rac10k</t>
  </si>
  <si>
    <t>Rac50k</t>
  </si>
  <si>
    <t>Q10k</t>
  </si>
  <si>
    <t>Q50k</t>
  </si>
  <si>
    <t>Ip, rms</t>
  </si>
  <si>
    <t>Is, rms</t>
  </si>
  <si>
    <t>Io</t>
  </si>
  <si>
    <t>Area Product</t>
  </si>
  <si>
    <t>AwAc</t>
  </si>
  <si>
    <t>Ip, pk</t>
  </si>
  <si>
    <t>Is, pk</t>
  </si>
  <si>
    <t>phase difference</t>
  </si>
  <si>
    <t>Transformer Dimensions</t>
  </si>
  <si>
    <t>Wire Dimensions</t>
  </si>
  <si>
    <t>Wire Width</t>
  </si>
  <si>
    <t>Wire Height</t>
  </si>
  <si>
    <t>nCore</t>
  </si>
  <si>
    <t>Transformer Parameters</t>
  </si>
  <si>
    <t>number of turns</t>
  </si>
  <si>
    <t xml:space="preserve">magnetizing inductance </t>
  </si>
  <si>
    <t>n</t>
  </si>
  <si>
    <t>output power</t>
  </si>
  <si>
    <t>output voltage</t>
  </si>
  <si>
    <t>output current</t>
  </si>
  <si>
    <t>primary side current, rms</t>
  </si>
  <si>
    <t>primary side current, pk</t>
  </si>
  <si>
    <t>secondary side current, rms</t>
  </si>
  <si>
    <t>secondary side current, pk</t>
  </si>
  <si>
    <t>switching frequency</t>
  </si>
  <si>
    <t>number of cores</t>
  </si>
  <si>
    <t>L_c</t>
  </si>
  <si>
    <t>W_c</t>
  </si>
  <si>
    <t>A_c</t>
  </si>
  <si>
    <t>A_l</t>
  </si>
  <si>
    <t>L_l</t>
  </si>
  <si>
    <t>W_l</t>
  </si>
  <si>
    <t>Aw</t>
  </si>
  <si>
    <t>Ac</t>
  </si>
  <si>
    <t>length of center leg</t>
  </si>
  <si>
    <t>width of center leg</t>
  </si>
  <si>
    <t>area of center leg</t>
  </si>
  <si>
    <t>area of right and left leg</t>
  </si>
  <si>
    <t>length of right and left leg</t>
  </si>
  <si>
    <t>width of right and left leg</t>
  </si>
  <si>
    <t>actual chosen</t>
  </si>
  <si>
    <t>resonant frequency</t>
  </si>
  <si>
    <t>deadtime</t>
  </si>
  <si>
    <t>phi</t>
  </si>
  <si>
    <t>phase diff</t>
  </si>
  <si>
    <t>output resistance</t>
  </si>
  <si>
    <t>time difference</t>
  </si>
  <si>
    <t>Ipri, pk</t>
  </si>
  <si>
    <t>Ip, pk (estimate)</t>
  </si>
  <si>
    <t>max saturation flux density</t>
  </si>
  <si>
    <t>mm</t>
  </si>
  <si>
    <t>theoretical</t>
  </si>
  <si>
    <t>actual</t>
  </si>
  <si>
    <t>path modelling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</si>
  <si>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</si>
  <si>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</si>
  <si>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</si>
  <si>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</si>
  <si>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</si>
  <si>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</si>
  <si>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</si>
  <si>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</si>
  <si>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</si>
  <si>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</si>
  <si>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</si>
  <si>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</si>
  <si>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</si>
  <si>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</si>
  <si>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</si>
  <si>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r>
      <t xml:space="preserve">wire coating </t>
    </r>
    <r>
      <rPr>
        <sz val="11"/>
        <color theme="1"/>
        <rFont val="Aptos Narrow"/>
        <family val="2"/>
        <scheme val="minor"/>
      </rPr>
      <t>thickness</t>
    </r>
  </si>
  <si>
    <t>insulation thickness</t>
  </si>
  <si>
    <t>half cross section</t>
  </si>
  <si>
    <t>whole cross section</t>
  </si>
  <si>
    <t>air gap</t>
  </si>
  <si>
    <t>lmc</t>
  </si>
  <si>
    <t>lmo</t>
  </si>
  <si>
    <t xml:space="preserve">uo </t>
  </si>
  <si>
    <t>ur</t>
  </si>
  <si>
    <t>wireWidth</t>
  </si>
  <si>
    <t>wireHeight</t>
  </si>
  <si>
    <t>coatingThickness</t>
  </si>
  <si>
    <t>insulationThickness</t>
  </si>
  <si>
    <t>Wire Face</t>
  </si>
  <si>
    <t>wireDistance</t>
  </si>
  <si>
    <t>centerDistance</t>
  </si>
  <si>
    <t>Transformer Core (whole piece)</t>
  </si>
  <si>
    <t>Transformer Core (Gap Piece)</t>
  </si>
  <si>
    <t>2*(coatingThickness+insulationThickness)</t>
  </si>
  <si>
    <t>(wireHeight + coating Thickness * 2 + insulationThickness * 2) /2</t>
  </si>
  <si>
    <t>centerLegWidth</t>
  </si>
  <si>
    <t>outerLegWidth</t>
  </si>
  <si>
    <t>centerLegWidth/2</t>
  </si>
  <si>
    <t>wireToCore</t>
  </si>
  <si>
    <t>coreToCoreGapLength</t>
  </si>
  <si>
    <t>coreWindowWidth</t>
  </si>
  <si>
    <t>coreWindowHeight</t>
  </si>
  <si>
    <t>(wireWidth + coating Thickness * 2 + insulationThickness * 2) *2*nTurns</t>
  </si>
  <si>
    <t>nTurns</t>
  </si>
  <si>
    <t>coreWidth</t>
  </si>
  <si>
    <t>nGap</t>
  </si>
  <si>
    <t>centerLegWidth + 2*(coreWindowWidth + outerLegWidth)</t>
  </si>
  <si>
    <t>coreLength</t>
  </si>
  <si>
    <t>nCore - 1</t>
  </si>
  <si>
    <t>totalCoreLength</t>
  </si>
  <si>
    <t>(totalCoreLength - 5 * coreLength)/(nGap)</t>
  </si>
  <si>
    <t>Outer Core Templates</t>
  </si>
  <si>
    <t>outerCoreLength</t>
  </si>
  <si>
    <t>airGap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</si>
</sst>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855E3-61D9-48AF-9A78-221720EB16F6}">
  <dimension ref="A1:M72"/>
  <sheetViews>
    <sheetView topLeftCell="A59" zoomScaleNormal="145" workbookViewId="0">
      <selection activeCell="D62" sqref="D62"/>
    </sheetView>
  </sheetViews>
  <sheetFormatPr defaultRowHeight="14.4" x14ac:dyDescent="0.55000000000000004"/>
  <sheetData>
    <row r="1" spans="1:13" x14ac:dyDescent="0.55000000000000004">
      <c r="A1" t="s">
        <v>0</v>
      </c>
      <c r="B1" s="1">
        <v>2.0000000000000002E-5</v>
      </c>
      <c r="C1" t="s">
        <v>5</v>
      </c>
      <c r="D1" s="1">
        <f>B1*D2</f>
        <v>4.0000000000000002E-4</v>
      </c>
    </row>
    <row r="2" spans="1:13" x14ac:dyDescent="0.55000000000000004">
      <c r="A2" t="s">
        <v>1</v>
      </c>
      <c r="B2" s="1">
        <f>1/((2*PI()*B7)^2*B1)</f>
        <v>1.4072386616991357E-6</v>
      </c>
      <c r="C2" t="s">
        <v>4</v>
      </c>
      <c r="D2">
        <v>20</v>
      </c>
    </row>
    <row r="3" spans="1:13" x14ac:dyDescent="0.55000000000000004">
      <c r="A3" t="s">
        <v>2</v>
      </c>
      <c r="B3" s="1">
        <f>Sheet2!$D$4</f>
        <v>8.105694691387022</v>
      </c>
      <c r="C3" t="s">
        <v>10</v>
      </c>
      <c r="D3" s="1">
        <f>SQRT(B1/B2)/B3</f>
        <v>0.46509415020449729</v>
      </c>
      <c r="G3">
        <v>6</v>
      </c>
      <c r="H3">
        <v>0.31415900000000002</v>
      </c>
    </row>
    <row r="4" spans="1:13" x14ac:dyDescent="0.55000000000000004">
      <c r="G4">
        <v>5</v>
      </c>
      <c r="H4">
        <v>0.37699100000000002</v>
      </c>
    </row>
    <row r="5" spans="1:13" x14ac:dyDescent="0.55000000000000004">
      <c r="A5" t="s">
        <v>6</v>
      </c>
      <c r="C5" t="s">
        <v>8</v>
      </c>
      <c r="G5">
        <v>4</v>
      </c>
      <c r="H5">
        <v>0.47123900000000002</v>
      </c>
    </row>
    <row r="6" spans="1:13" x14ac:dyDescent="0.55000000000000004">
      <c r="A6" t="s">
        <v>7</v>
      </c>
      <c r="C6" t="s">
        <v>9</v>
      </c>
    </row>
    <row r="7" spans="1:13" x14ac:dyDescent="0.55000000000000004">
      <c r="A7" t="s">
        <v>3</v>
      </c>
      <c r="B7" s="1">
        <v>30000</v>
      </c>
    </row>
    <row r="9" spans="1:13" x14ac:dyDescent="0.55000000000000004">
      <c r="A9" t="s">
        <v>14</v>
      </c>
    </row>
    <row r="10" spans="1:13" x14ac:dyDescent="0.55000000000000004">
      <c r="A10" t="s">
        <v>0</v>
      </c>
      <c r="B10" s="1">
        <f>D10/D11</f>
        <v>1.9987950370370369E-5</v>
      </c>
      <c r="C10" t="s">
        <v>5</v>
      </c>
      <c r="D10" s="1">
        <f>D13*(1/B16/2-D13)/(4*(G10+G10+G11))</f>
        <v>3.9975900740740739E-4</v>
      </c>
      <c r="F10" t="s">
        <v>16</v>
      </c>
      <c r="G10" s="1">
        <v>3E-10</v>
      </c>
    </row>
    <row r="11" spans="1:13" x14ac:dyDescent="0.55000000000000004">
      <c r="A11" t="s">
        <v>1</v>
      </c>
      <c r="B11" s="1">
        <f>1/((2*PI()*B16)^2*B10)</f>
        <v>1.408087008045798E-6</v>
      </c>
      <c r="C11" t="s">
        <v>4</v>
      </c>
      <c r="D11">
        <v>20</v>
      </c>
      <c r="F11" t="s">
        <v>17</v>
      </c>
      <c r="G11" s="1">
        <v>3E-10</v>
      </c>
    </row>
    <row r="12" spans="1:13" x14ac:dyDescent="0.55000000000000004">
      <c r="A12" t="s">
        <v>2</v>
      </c>
      <c r="B12" s="1">
        <f>Sheet2!$D$4</f>
        <v>8.105694691387022</v>
      </c>
      <c r="C12" t="s">
        <v>10</v>
      </c>
      <c r="D12" s="1">
        <f>SQRT(B10/B11)/B12</f>
        <v>0.46481393959185369</v>
      </c>
      <c r="G12">
        <v>6</v>
      </c>
      <c r="H12">
        <v>0.31415900000000002</v>
      </c>
    </row>
    <row r="13" spans="1:13" x14ac:dyDescent="0.55000000000000004">
      <c r="C13" s="3" t="s">
        <v>15</v>
      </c>
      <c r="D13" s="1">
        <v>8.6799999999999996E-8</v>
      </c>
      <c r="G13">
        <v>5</v>
      </c>
      <c r="H13">
        <v>0.37699100000000002</v>
      </c>
    </row>
    <row r="14" spans="1:13" x14ac:dyDescent="0.55000000000000004">
      <c r="A14" t="s">
        <v>6</v>
      </c>
      <c r="C14" t="s">
        <v>8</v>
      </c>
      <c r="G14">
        <v>4</v>
      </c>
      <c r="H14">
        <v>0.47123900000000002</v>
      </c>
    </row>
    <row r="15" spans="1:13" x14ac:dyDescent="0.55000000000000004">
      <c r="A15" t="s">
        <v>7</v>
      </c>
      <c r="C15" t="s">
        <v>9</v>
      </c>
      <c r="M15">
        <f>1/(2*PI()*SQRT(0.00007292*0.00000003473))</f>
        <v>100010.22630210523</v>
      </c>
    </row>
    <row r="16" spans="1:13" x14ac:dyDescent="0.55000000000000004">
      <c r="A16" t="s">
        <v>3</v>
      </c>
      <c r="B16" s="1">
        <v>30000</v>
      </c>
      <c r="D16" s="1">
        <f>1/(2*PI()*SQRT(B10*B11))</f>
        <v>30000.000000000004</v>
      </c>
    </row>
    <row r="19" spans="1:8" x14ac:dyDescent="0.55000000000000004">
      <c r="A19" t="s">
        <v>14</v>
      </c>
    </row>
    <row r="20" spans="1:8" x14ac:dyDescent="0.55000000000000004">
      <c r="A20" t="s">
        <v>0</v>
      </c>
      <c r="B20" s="1">
        <f>0.0000344</f>
        <v>3.4400000000000003E-5</v>
      </c>
      <c r="C20" t="s">
        <v>5</v>
      </c>
      <c r="D20" s="1">
        <f>D23*(1/B26/2-D23)/(4*(G20+G20+G21))</f>
        <v>6.881944444444444E-4</v>
      </c>
      <c r="F20" t="s">
        <v>16</v>
      </c>
      <c r="G20" s="1">
        <v>3E-10</v>
      </c>
    </row>
    <row r="21" spans="1:8" x14ac:dyDescent="0.55000000000000004">
      <c r="A21" t="s">
        <v>1</v>
      </c>
      <c r="B21" s="1">
        <f>1/((2*PI()*B26)^2*B20)</f>
        <v>8.1816201261577644E-7</v>
      </c>
      <c r="C21" t="s">
        <v>4</v>
      </c>
      <c r="D21">
        <v>20</v>
      </c>
      <c r="F21" t="s">
        <v>17</v>
      </c>
      <c r="G21" s="1">
        <v>3E-10</v>
      </c>
    </row>
    <row r="22" spans="1:8" x14ac:dyDescent="0.55000000000000004">
      <c r="A22" t="s">
        <v>2</v>
      </c>
      <c r="B22" s="1">
        <f>Sheet2!$D$4</f>
        <v>8.105694691387022</v>
      </c>
      <c r="C22" t="s">
        <v>10</v>
      </c>
      <c r="D22" s="1">
        <f>SQRT(B20/B21)/B22</f>
        <v>0.79996193835173535</v>
      </c>
      <c r="E22" s="1">
        <f>SQRT(B20/B21)/B22</f>
        <v>0.79996193835173535</v>
      </c>
      <c r="G22">
        <v>6</v>
      </c>
      <c r="H22">
        <v>0.31415900000000002</v>
      </c>
    </row>
    <row r="23" spans="1:8" x14ac:dyDescent="0.55000000000000004">
      <c r="C23" s="3" t="s">
        <v>15</v>
      </c>
      <c r="D23" s="1">
        <v>1.4999999999999999E-7</v>
      </c>
      <c r="G23">
        <v>5</v>
      </c>
      <c r="H23">
        <v>0.37699100000000002</v>
      </c>
    </row>
    <row r="24" spans="1:8" x14ac:dyDescent="0.55000000000000004">
      <c r="A24" t="s">
        <v>6</v>
      </c>
      <c r="C24" t="s">
        <v>8</v>
      </c>
      <c r="G24">
        <v>4</v>
      </c>
      <c r="H24">
        <v>0.47123900000000002</v>
      </c>
    </row>
    <row r="25" spans="1:8" x14ac:dyDescent="0.55000000000000004">
      <c r="A25" t="s">
        <v>7</v>
      </c>
      <c r="C25" t="s">
        <v>9</v>
      </c>
    </row>
    <row r="26" spans="1:8" x14ac:dyDescent="0.55000000000000004">
      <c r="A26" t="s">
        <v>3</v>
      </c>
      <c r="B26" s="1">
        <v>30000</v>
      </c>
      <c r="D26" s="1">
        <f>1/(2*PI()*SQRT(B20*B21))</f>
        <v>30000.000000000004</v>
      </c>
    </row>
    <row r="28" spans="1:8" x14ac:dyDescent="0.55000000000000004">
      <c r="A28" t="s">
        <v>14</v>
      </c>
    </row>
    <row r="29" spans="1:8" x14ac:dyDescent="0.55000000000000004">
      <c r="A29" t="s">
        <v>0</v>
      </c>
      <c r="B29" s="1">
        <f>0.0000344</f>
        <v>3.4400000000000003E-5</v>
      </c>
      <c r="C29" t="s">
        <v>5</v>
      </c>
      <c r="D29" s="1">
        <f>D32*(1/B35/2-D32)/(4*(G29+G29+G30))</f>
        <v>3.4382449259259264E-4</v>
      </c>
      <c r="F29" t="s">
        <v>16</v>
      </c>
      <c r="G29" s="1">
        <v>3E-10</v>
      </c>
    </row>
    <row r="30" spans="1:8" x14ac:dyDescent="0.55000000000000004">
      <c r="A30" t="s">
        <v>1</v>
      </c>
      <c r="B30" s="1">
        <f>1/((2*PI()*B35)^2*B29)</f>
        <v>8.1816201261577644E-7</v>
      </c>
      <c r="C30" t="s">
        <v>4</v>
      </c>
      <c r="D30">
        <v>10</v>
      </c>
      <c r="F30" t="s">
        <v>17</v>
      </c>
      <c r="G30" s="1">
        <v>3E-10</v>
      </c>
    </row>
    <row r="31" spans="1:8" x14ac:dyDescent="0.55000000000000004">
      <c r="A31" t="s">
        <v>2</v>
      </c>
      <c r="B31" s="1">
        <f>Sheet2!$D$4</f>
        <v>8.105694691387022</v>
      </c>
      <c r="C31" t="s">
        <v>10</v>
      </c>
      <c r="D31" s="1">
        <f>SQRT(B29/B30)/B31</f>
        <v>0.79996193835173535</v>
      </c>
      <c r="E31" s="1">
        <f>SQRT(B29/B30)/B31</f>
        <v>0.79996193835173535</v>
      </c>
      <c r="G31">
        <v>6</v>
      </c>
      <c r="H31">
        <v>0.31415900000000002</v>
      </c>
    </row>
    <row r="32" spans="1:8" x14ac:dyDescent="0.55000000000000004">
      <c r="C32" s="3" t="s">
        <v>15</v>
      </c>
      <c r="D32" s="1">
        <v>7.4600000000000006E-8</v>
      </c>
      <c r="G32">
        <v>5</v>
      </c>
      <c r="H32">
        <v>0.37699100000000002</v>
      </c>
    </row>
    <row r="33" spans="1:8" x14ac:dyDescent="0.55000000000000004">
      <c r="A33" t="s">
        <v>6</v>
      </c>
      <c r="C33" t="s">
        <v>8</v>
      </c>
      <c r="G33">
        <v>4</v>
      </c>
      <c r="H33">
        <v>0.47123900000000002</v>
      </c>
    </row>
    <row r="34" spans="1:8" x14ac:dyDescent="0.55000000000000004">
      <c r="A34" t="s">
        <v>7</v>
      </c>
      <c r="C34" t="s">
        <v>9</v>
      </c>
    </row>
    <row r="35" spans="1:8" x14ac:dyDescent="0.55000000000000004">
      <c r="A35" t="s">
        <v>3</v>
      </c>
      <c r="B35" s="1">
        <v>30000</v>
      </c>
      <c r="D35" s="1">
        <f>1/(2*PI()*SQRT(B29*B30))</f>
        <v>30000.000000000004</v>
      </c>
    </row>
    <row r="39" spans="1:8" x14ac:dyDescent="0.55000000000000004">
      <c r="A39" t="s">
        <v>14</v>
      </c>
    </row>
    <row r="40" spans="1:8" x14ac:dyDescent="0.55000000000000004">
      <c r="A40" t="s">
        <v>0</v>
      </c>
      <c r="B40" s="1">
        <f>0.0000344</f>
        <v>3.4400000000000003E-5</v>
      </c>
      <c r="C40" t="s">
        <v>5</v>
      </c>
      <c r="D40" s="1">
        <f>D43*(1/B46/2-D43)/(4*(G40+G40+G41))</f>
        <v>3.4382449259259264E-4</v>
      </c>
      <c r="F40" t="s">
        <v>16</v>
      </c>
      <c r="G40" s="1">
        <v>3E-10</v>
      </c>
    </row>
    <row r="41" spans="1:8" x14ac:dyDescent="0.55000000000000004">
      <c r="A41" t="s">
        <v>1</v>
      </c>
      <c r="B41" s="1">
        <f>1/((2*PI()*B46)^2*B40)</f>
        <v>8.1816201261577644E-7</v>
      </c>
      <c r="C41" t="s">
        <v>4</v>
      </c>
      <c r="D41">
        <v>10</v>
      </c>
      <c r="F41" t="s">
        <v>17</v>
      </c>
      <c r="G41" s="1">
        <v>3E-10</v>
      </c>
    </row>
    <row r="42" spans="1:8" x14ac:dyDescent="0.55000000000000004">
      <c r="A42" t="s">
        <v>2</v>
      </c>
      <c r="B42" s="1">
        <f>Sheet2!$D$4</f>
        <v>8.105694691387022</v>
      </c>
      <c r="C42" t="s">
        <v>10</v>
      </c>
      <c r="D42" s="1">
        <f>SQRT(B40/B41)/B42</f>
        <v>0.79996193835173535</v>
      </c>
      <c r="E42" s="1">
        <f>SQRT(B40/B41)/B42</f>
        <v>0.79996193835173535</v>
      </c>
      <c r="G42">
        <v>6</v>
      </c>
      <c r="H42">
        <v>0.31415900000000002</v>
      </c>
    </row>
    <row r="43" spans="1:8" x14ac:dyDescent="0.55000000000000004">
      <c r="C43" s="3" t="s">
        <v>15</v>
      </c>
      <c r="D43" s="1">
        <v>7.4600000000000006E-8</v>
      </c>
      <c r="G43">
        <v>5</v>
      </c>
      <c r="H43">
        <v>0.37699100000000002</v>
      </c>
    </row>
    <row r="44" spans="1:8" x14ac:dyDescent="0.55000000000000004">
      <c r="A44" t="s">
        <v>6</v>
      </c>
      <c r="C44" t="s">
        <v>8</v>
      </c>
      <c r="G44">
        <v>4</v>
      </c>
      <c r="H44">
        <v>0.47123900000000002</v>
      </c>
    </row>
    <row r="45" spans="1:8" x14ac:dyDescent="0.55000000000000004">
      <c r="A45" t="s">
        <v>7</v>
      </c>
      <c r="C45" t="s">
        <v>9</v>
      </c>
    </row>
    <row r="46" spans="1:8" x14ac:dyDescent="0.55000000000000004">
      <c r="A46" t="s">
        <v>3</v>
      </c>
      <c r="B46" s="1">
        <v>30000</v>
      </c>
      <c r="D46" s="1">
        <f>1/(2*PI()*SQRT(B40*B41))</f>
        <v>30000.000000000004</v>
      </c>
    </row>
    <row r="48" spans="1:8" x14ac:dyDescent="0.55000000000000004">
      <c r="H48">
        <f>20*6.25</f>
        <v>125</v>
      </c>
    </row>
    <row r="49" spans="1:8" x14ac:dyDescent="0.55000000000000004">
      <c r="A49" t="s">
        <v>14</v>
      </c>
      <c r="D49" t="s">
        <v>19</v>
      </c>
    </row>
    <row r="50" spans="1:8" x14ac:dyDescent="0.55000000000000004">
      <c r="A50" t="s">
        <v>0</v>
      </c>
      <c r="B50" s="1">
        <v>2.0000000000000002E-5</v>
      </c>
      <c r="C50" t="s">
        <v>18</v>
      </c>
      <c r="D50" s="1">
        <f>D53*(1/B55/2-D53)/(4*(G50+G50+G51))</f>
        <v>1.2234567901234566E-3</v>
      </c>
      <c r="E50" s="1">
        <f>D50/B50</f>
        <v>61.172839506172828</v>
      </c>
      <c r="F50" t="s">
        <v>16</v>
      </c>
      <c r="G50" s="1">
        <v>3E-10</v>
      </c>
    </row>
    <row r="51" spans="1:8" x14ac:dyDescent="0.55000000000000004">
      <c r="A51" t="s">
        <v>1</v>
      </c>
      <c r="B51" s="1">
        <f>1/((2*PI()*B56)^2*B50)</f>
        <v>1.4072386616991357E-6</v>
      </c>
      <c r="C51" t="s">
        <v>4</v>
      </c>
      <c r="D51">
        <v>6.25</v>
      </c>
      <c r="F51" t="s">
        <v>17</v>
      </c>
      <c r="G51" s="1">
        <v>3E-10</v>
      </c>
    </row>
    <row r="52" spans="1:8" x14ac:dyDescent="0.55000000000000004">
      <c r="A52" t="s">
        <v>2</v>
      </c>
      <c r="B52" s="1">
        <f>Sheet2!$D$4</f>
        <v>8.105694691387022</v>
      </c>
      <c r="C52" t="s">
        <v>10</v>
      </c>
      <c r="D52" s="1">
        <f>SQRT(B50/B51)/B52</f>
        <v>0.46509415020449729</v>
      </c>
      <c r="E52" s="1">
        <f>SQRT(B50/B51)/B52</f>
        <v>0.46509415020449729</v>
      </c>
      <c r="G52">
        <v>6</v>
      </c>
      <c r="H52">
        <v>0.31415900000000002</v>
      </c>
    </row>
    <row r="53" spans="1:8" x14ac:dyDescent="0.55000000000000004">
      <c r="C53" s="3" t="s">
        <v>15</v>
      </c>
      <c r="D53" s="1">
        <v>1.9999999999999999E-7</v>
      </c>
      <c r="G53">
        <v>5</v>
      </c>
      <c r="H53">
        <v>0.37699100000000002</v>
      </c>
    </row>
    <row r="54" spans="1:8" x14ac:dyDescent="0.55000000000000004">
      <c r="A54" t="s">
        <v>6</v>
      </c>
      <c r="C54" t="s">
        <v>8</v>
      </c>
      <c r="G54">
        <v>4</v>
      </c>
      <c r="H54">
        <v>0.47123900000000002</v>
      </c>
    </row>
    <row r="55" spans="1:8" x14ac:dyDescent="0.55000000000000004">
      <c r="A55" t="s">
        <v>7</v>
      </c>
      <c r="B55" s="1">
        <v>22500</v>
      </c>
      <c r="C55" t="s">
        <v>9</v>
      </c>
    </row>
    <row r="56" spans="1:8" x14ac:dyDescent="0.55000000000000004">
      <c r="A56" t="s">
        <v>3</v>
      </c>
      <c r="B56" s="1">
        <v>30000</v>
      </c>
      <c r="D56" s="1">
        <f>1/(2*PI()*SQRT(B50*B51))</f>
        <v>30000</v>
      </c>
    </row>
    <row r="58" spans="1:8" x14ac:dyDescent="0.55000000000000004">
      <c r="B58">
        <f>22.5/30</f>
        <v>0.75</v>
      </c>
    </row>
    <row r="61" spans="1:8" x14ac:dyDescent="0.55000000000000004">
      <c r="A61" t="s">
        <v>14</v>
      </c>
      <c r="D61" t="s">
        <v>19</v>
      </c>
    </row>
    <row r="62" spans="1:8" x14ac:dyDescent="0.55000000000000004">
      <c r="A62" t="s">
        <v>0</v>
      </c>
      <c r="B62" s="1">
        <v>4.0000000000000003E-5</v>
      </c>
      <c r="C62" t="s">
        <v>18</v>
      </c>
      <c r="D62" s="1">
        <f>D65*(1/B67/2-D65)/(4*(G62+G62+G63))</f>
        <v>1.2234567901234566E-3</v>
      </c>
      <c r="E62" s="1">
        <f>D62/B62</f>
        <v>30.586419753086414</v>
      </c>
      <c r="F62" t="s">
        <v>16</v>
      </c>
      <c r="G62" s="1">
        <v>3E-10</v>
      </c>
    </row>
    <row r="63" spans="1:8" x14ac:dyDescent="0.55000000000000004">
      <c r="A63" t="s">
        <v>1</v>
      </c>
      <c r="B63" s="1">
        <f>1/((2*PI()*B68)^2*B62)</f>
        <v>7.0361933084956785E-7</v>
      </c>
      <c r="C63" t="s">
        <v>4</v>
      </c>
      <c r="D63">
        <v>6.25</v>
      </c>
      <c r="F63" t="s">
        <v>17</v>
      </c>
      <c r="G63" s="1">
        <v>3E-10</v>
      </c>
    </row>
    <row r="64" spans="1:8" x14ac:dyDescent="0.55000000000000004">
      <c r="A64" t="s">
        <v>2</v>
      </c>
      <c r="B64" s="1">
        <f>Sheet2!$D$4</f>
        <v>8.105694691387022</v>
      </c>
      <c r="C64" t="s">
        <v>10</v>
      </c>
      <c r="D64" s="1">
        <f>SQRT(B62/B63)/B64</f>
        <v>0.93018830040899458</v>
      </c>
      <c r="E64" s="1">
        <f>SQRT(B62/B63)/B64</f>
        <v>0.93018830040899458</v>
      </c>
      <c r="G64">
        <v>6</v>
      </c>
    </row>
    <row r="65" spans="1:7" x14ac:dyDescent="0.55000000000000004">
      <c r="C65" s="3" t="s">
        <v>15</v>
      </c>
      <c r="D65" s="1">
        <v>1.9999999999999999E-7</v>
      </c>
      <c r="G65">
        <v>5</v>
      </c>
    </row>
    <row r="66" spans="1:7" x14ac:dyDescent="0.55000000000000004">
      <c r="A66" t="s">
        <v>6</v>
      </c>
      <c r="C66" t="s">
        <v>8</v>
      </c>
      <c r="G66">
        <v>4</v>
      </c>
    </row>
    <row r="67" spans="1:7" x14ac:dyDescent="0.55000000000000004">
      <c r="A67" t="s">
        <v>7</v>
      </c>
      <c r="B67" s="1">
        <v>22500</v>
      </c>
      <c r="C67" t="s">
        <v>9</v>
      </c>
    </row>
    <row r="68" spans="1:7" x14ac:dyDescent="0.55000000000000004">
      <c r="A68" t="s">
        <v>3</v>
      </c>
      <c r="B68" s="1">
        <v>30000</v>
      </c>
      <c r="D68" s="1">
        <f>1/(2*PI()*SQRT(B62*B63))</f>
        <v>30000</v>
      </c>
    </row>
    <row r="72" spans="1:7" x14ac:dyDescent="0.55000000000000004">
      <c r="A72" s="3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48E6-DCC5-403F-8154-888F3F9DE110}">
  <dimension ref="A1:W24"/>
  <sheetViews>
    <sheetView topLeftCell="A7" zoomScale="96" zoomScaleNormal="104" workbookViewId="0">
      <selection activeCell="J11" sqref="J11"/>
    </sheetView>
  </sheetViews>
  <sheetFormatPr defaultRowHeight="14.4" x14ac:dyDescent="0.55000000000000004"/>
  <sheetData>
    <row r="1" spans="1:23" x14ac:dyDescent="0.55000000000000004">
      <c r="A1" t="s">
        <v>21</v>
      </c>
    </row>
    <row r="2" spans="1:23" x14ac:dyDescent="0.55000000000000004">
      <c r="A2" t="s">
        <v>0</v>
      </c>
      <c r="B2" s="1">
        <v>2.0000000000000002E-5</v>
      </c>
      <c r="C2" t="s">
        <v>5</v>
      </c>
      <c r="D2" s="1">
        <f>B2*D3</f>
        <v>6.0000000000000006E-4</v>
      </c>
      <c r="E2" t="s">
        <v>18</v>
      </c>
      <c r="F2" s="1">
        <f>D5*(1/B8/2-D5)/(4*(D6+D7+D7))</f>
        <v>9.148148148148147E-4</v>
      </c>
    </row>
    <row r="3" spans="1:23" x14ac:dyDescent="0.55000000000000004">
      <c r="A3" t="s">
        <v>1</v>
      </c>
      <c r="B3" s="1">
        <f>1/((2*PI()*B8)^2*B2)</f>
        <v>1.4072386616991357E-6</v>
      </c>
      <c r="C3" t="s">
        <v>4</v>
      </c>
      <c r="D3">
        <v>30</v>
      </c>
    </row>
    <row r="4" spans="1:23" x14ac:dyDescent="0.55000000000000004">
      <c r="A4" t="s">
        <v>2</v>
      </c>
      <c r="B4" s="1">
        <f>Sheet2!$D$4</f>
        <v>8.105694691387022</v>
      </c>
      <c r="C4" t="s">
        <v>10</v>
      </c>
      <c r="D4" s="1">
        <f>SQRT(B2/B3)/B4</f>
        <v>0.46509415020449729</v>
      </c>
    </row>
    <row r="5" spans="1:23" x14ac:dyDescent="0.55000000000000004">
      <c r="C5" s="3" t="s">
        <v>15</v>
      </c>
      <c r="D5" s="1">
        <v>1.9999999999999999E-7</v>
      </c>
    </row>
    <row r="6" spans="1:23" x14ac:dyDescent="0.55000000000000004">
      <c r="A6" t="s">
        <v>6</v>
      </c>
      <c r="C6" t="s">
        <v>16</v>
      </c>
      <c r="D6" s="1">
        <v>3E-10</v>
      </c>
    </row>
    <row r="7" spans="1:23" x14ac:dyDescent="0.55000000000000004">
      <c r="A7" t="s">
        <v>7</v>
      </c>
      <c r="C7" t="s">
        <v>17</v>
      </c>
      <c r="D7" s="1">
        <v>3E-10</v>
      </c>
    </row>
    <row r="8" spans="1:23" x14ac:dyDescent="0.55000000000000004">
      <c r="A8" t="s">
        <v>3</v>
      </c>
      <c r="B8" s="1">
        <v>30000</v>
      </c>
    </row>
    <row r="10" spans="1:23" x14ac:dyDescent="0.55000000000000004">
      <c r="B10" s="1"/>
      <c r="D10" s="1"/>
      <c r="E10" s="1"/>
      <c r="G10" s="1"/>
      <c r="R10" t="s">
        <v>29</v>
      </c>
    </row>
    <row r="11" spans="1:23" x14ac:dyDescent="0.55000000000000004">
      <c r="A11" t="s">
        <v>22</v>
      </c>
      <c r="G11" s="1"/>
      <c r="J11" t="s">
        <v>22</v>
      </c>
      <c r="R11" t="s">
        <v>22</v>
      </c>
    </row>
    <row r="12" spans="1:23" x14ac:dyDescent="0.55000000000000004">
      <c r="A12" t="s">
        <v>0</v>
      </c>
      <c r="B12" s="1">
        <v>1.0000000000000001E-5</v>
      </c>
      <c r="C12" t="s">
        <v>5</v>
      </c>
      <c r="D12" s="1">
        <f>B12*D13</f>
        <v>3.0000000000000003E-4</v>
      </c>
      <c r="E12" t="s">
        <v>18</v>
      </c>
      <c r="F12" s="1">
        <f>D18*(1/B20/2-D18)/(4*(D19+D20+D20))</f>
        <v>3.0169753086419756E-3</v>
      </c>
      <c r="J12" t="s">
        <v>0</v>
      </c>
      <c r="K12" s="1">
        <f>1/((2*PI()*K23)^2*K13)</f>
        <v>1.1257909293593086E-5</v>
      </c>
      <c r="L12" t="s">
        <v>5</v>
      </c>
      <c r="M12" s="1">
        <f>K12*M13</f>
        <v>1.3509491152311701E-4</v>
      </c>
      <c r="N12" t="s">
        <v>18</v>
      </c>
      <c r="O12" s="1">
        <f>M20/(16*M21*4*K23)</f>
        <v>3.4722222222222218E-4</v>
      </c>
      <c r="R12" t="s">
        <v>0</v>
      </c>
      <c r="S12" s="1">
        <f>1/((2*PI()*B21)^2*S13)</f>
        <v>5.0035152415969275E-5</v>
      </c>
      <c r="T12" t="s">
        <v>5</v>
      </c>
      <c r="U12" s="1">
        <f>S12*U13</f>
        <v>2.5017576207984637E-3</v>
      </c>
      <c r="V12" t="s">
        <v>18</v>
      </c>
      <c r="W12" s="1" t="e">
        <f>U18*(1/S20/2-U18)/(4*(U19+U20+U20))</f>
        <v>#DIV/0!</v>
      </c>
    </row>
    <row r="13" spans="1:23" x14ac:dyDescent="0.55000000000000004">
      <c r="A13" t="s">
        <v>1</v>
      </c>
      <c r="B13" s="1">
        <f>1/((2*PI()*B21)^2*B12)</f>
        <v>5.0035152415969263E-6</v>
      </c>
      <c r="C13" t="s">
        <v>4</v>
      </c>
      <c r="D13">
        <v>30</v>
      </c>
      <c r="H13" t="e">
        <f>1/((2*PI()*K23)^2*K11)</f>
        <v>#DIV/0!</v>
      </c>
      <c r="J13" t="s">
        <v>1</v>
      </c>
      <c r="K13" s="1">
        <v>2.5000000000000002E-6</v>
      </c>
      <c r="L13" t="s">
        <v>4</v>
      </c>
      <c r="M13">
        <v>12</v>
      </c>
      <c r="N13" t="s">
        <v>35</v>
      </c>
      <c r="O13" s="1">
        <f>1000^2/8*(((1/K22)/(2*M12))^2+(PI()/Sheet2!C4)^2)</f>
        <v>15719.265606709005</v>
      </c>
      <c r="R13" t="s">
        <v>1</v>
      </c>
      <c r="S13" s="1">
        <v>9.9999999999999995E-7</v>
      </c>
      <c r="T13" t="s">
        <v>4</v>
      </c>
      <c r="U13">
        <v>50</v>
      </c>
    </row>
    <row r="14" spans="1:23" x14ac:dyDescent="0.55000000000000004">
      <c r="A14" t="s">
        <v>24</v>
      </c>
      <c r="B14" s="1">
        <f>Sheet2!$D4</f>
        <v>8.105694691387022</v>
      </c>
      <c r="C14" t="s">
        <v>23</v>
      </c>
      <c r="D14" s="1">
        <f>SQRT($B$12/$B$13)/$B14</f>
        <v>0.1744103063266865</v>
      </c>
      <c r="J14" t="s">
        <v>31</v>
      </c>
      <c r="K14">
        <f>Sheet2!D6</f>
        <v>81.05694691387022</v>
      </c>
      <c r="L14" t="s">
        <v>33</v>
      </c>
      <c r="M14" s="1">
        <f>SQRT(K$12/K$13)/$K14</f>
        <v>2.6179938779914941E-2</v>
      </c>
      <c r="N14" t="s">
        <v>36</v>
      </c>
      <c r="R14" t="s">
        <v>24</v>
      </c>
      <c r="S14" s="1">
        <f>Sheet2!$D4</f>
        <v>8.105694691387022</v>
      </c>
      <c r="T14" t="s">
        <v>23</v>
      </c>
      <c r="U14" s="1">
        <f>SQRT($S$12/$S$13)/$S14</f>
        <v>0.87266462599716477</v>
      </c>
    </row>
    <row r="15" spans="1:23" x14ac:dyDescent="0.55000000000000004">
      <c r="A15" t="s">
        <v>25</v>
      </c>
      <c r="B15" s="1">
        <f>Sheet2!$D3</f>
        <v>4.052847345693511</v>
      </c>
      <c r="C15" t="s">
        <v>27</v>
      </c>
      <c r="D15" s="1">
        <f t="shared" ref="D15:D16" si="0">SQRT($B$12/$B$13)/$B15</f>
        <v>0.348820612653373</v>
      </c>
      <c r="J15" t="s">
        <v>32</v>
      </c>
      <c r="K15">
        <f>Sheet2!D5</f>
        <v>16.211389382774044</v>
      </c>
      <c r="L15" t="s">
        <v>34</v>
      </c>
      <c r="M15" s="1">
        <f>SQRT(K$12/K$13)/$K15</f>
        <v>0.1308996938995747</v>
      </c>
      <c r="R15" t="s">
        <v>25</v>
      </c>
      <c r="S15" s="1">
        <f>Sheet2!$D3</f>
        <v>4.052847345693511</v>
      </c>
      <c r="T15" t="s">
        <v>27</v>
      </c>
      <c r="U15" s="1">
        <f t="shared" ref="U15:U16" si="1">SQRT($S$12/$S$13)/$S15</f>
        <v>1.7453292519943295</v>
      </c>
    </row>
    <row r="16" spans="1:23" x14ac:dyDescent="0.55000000000000004">
      <c r="A16" t="s">
        <v>26</v>
      </c>
      <c r="B16" s="1">
        <f>Sheet2!$D2</f>
        <v>2.7018982304623407</v>
      </c>
      <c r="C16" t="s">
        <v>28</v>
      </c>
      <c r="D16" s="1">
        <f t="shared" si="0"/>
        <v>0.52323091898005947</v>
      </c>
      <c r="J16" t="s">
        <v>24</v>
      </c>
      <c r="K16" s="1">
        <f>Sheet2!$D4</f>
        <v>8.105694691387022</v>
      </c>
      <c r="L16" t="s">
        <v>23</v>
      </c>
      <c r="M16" s="1">
        <f>SQRT(K$12/K$13)/$B14</f>
        <v>0.26179938779914941</v>
      </c>
      <c r="R16" t="s">
        <v>26</v>
      </c>
      <c r="S16" s="1">
        <f>Sheet2!$D2</f>
        <v>2.7018982304623407</v>
      </c>
      <c r="T16" t="s">
        <v>28</v>
      </c>
      <c r="U16" s="1">
        <f t="shared" si="1"/>
        <v>2.6179938779914944</v>
      </c>
    </row>
    <row r="17" spans="1:13" x14ac:dyDescent="0.55000000000000004">
      <c r="J17" t="s">
        <v>25</v>
      </c>
      <c r="K17" s="1">
        <f>Sheet2!$D3</f>
        <v>4.052847345693511</v>
      </c>
      <c r="L17" t="s">
        <v>27</v>
      </c>
      <c r="M17" s="1">
        <f>SQRT(K$12/K$13)/$B15</f>
        <v>0.52359877559829882</v>
      </c>
    </row>
    <row r="18" spans="1:13" x14ac:dyDescent="0.55000000000000004">
      <c r="C18" s="3" t="s">
        <v>15</v>
      </c>
      <c r="D18" s="1">
        <v>4.9999999999999998E-7</v>
      </c>
      <c r="J18" t="s">
        <v>26</v>
      </c>
      <c r="K18" s="1">
        <f>Sheet2!$D2</f>
        <v>2.7018982304623407</v>
      </c>
      <c r="L18" t="s">
        <v>28</v>
      </c>
      <c r="M18" s="1">
        <f>SQRT(K$12/K$13)/$B16</f>
        <v>0.78539816339744828</v>
      </c>
    </row>
    <row r="19" spans="1:13" x14ac:dyDescent="0.55000000000000004">
      <c r="A19" t="s">
        <v>6</v>
      </c>
      <c r="C19" t="s">
        <v>16</v>
      </c>
      <c r="D19" s="1">
        <v>3E-10</v>
      </c>
    </row>
    <row r="20" spans="1:13" x14ac:dyDescent="0.55000000000000004">
      <c r="A20" t="s">
        <v>7</v>
      </c>
      <c r="B20" s="1">
        <v>22500</v>
      </c>
      <c r="C20" t="s">
        <v>17</v>
      </c>
      <c r="D20" s="1">
        <v>3E-10</v>
      </c>
      <c r="L20" s="3" t="s">
        <v>15</v>
      </c>
      <c r="M20" s="1">
        <v>1.9999999999999999E-7</v>
      </c>
    </row>
    <row r="21" spans="1:13" x14ac:dyDescent="0.55000000000000004">
      <c r="A21" t="s">
        <v>3</v>
      </c>
      <c r="B21" s="1">
        <v>22500</v>
      </c>
      <c r="J21" t="s">
        <v>6</v>
      </c>
      <c r="L21" t="s">
        <v>16</v>
      </c>
      <c r="M21" s="1">
        <v>3E-10</v>
      </c>
    </row>
    <row r="22" spans="1:13" x14ac:dyDescent="0.55000000000000004">
      <c r="A22" t="s">
        <v>6</v>
      </c>
      <c r="B22" s="1">
        <f>B20/B21</f>
        <v>1</v>
      </c>
      <c r="J22" t="s">
        <v>7</v>
      </c>
      <c r="K22" s="1">
        <v>22500</v>
      </c>
      <c r="L22" t="s">
        <v>17</v>
      </c>
      <c r="M22" s="1">
        <v>3E-10</v>
      </c>
    </row>
    <row r="23" spans="1:13" x14ac:dyDescent="0.55000000000000004">
      <c r="J23" t="s">
        <v>3</v>
      </c>
      <c r="K23" s="1">
        <v>30000</v>
      </c>
    </row>
    <row r="24" spans="1:13" x14ac:dyDescent="0.55000000000000004">
      <c r="J24" t="s">
        <v>6</v>
      </c>
      <c r="K24" s="1">
        <f>K23/K22</f>
        <v>1.3333333333333333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AB931-3CEB-46C6-929F-DBA10F61E738}">
  <dimension ref="A1:W24"/>
  <sheetViews>
    <sheetView tabSelected="1" topLeftCell="C3" zoomScale="96" zoomScaleNormal="104" workbookViewId="0">
      <selection activeCell="M21" sqref="M21"/>
    </sheetView>
  </sheetViews>
  <sheetFormatPr defaultRowHeight="14.4" x14ac:dyDescent="0.55000000000000004"/>
  <sheetData>
    <row r="1" spans="1:23" x14ac:dyDescent="0.55000000000000004">
      <c r="A1" t="s">
        <v>21</v>
      </c>
    </row>
    <row r="2" spans="1:23" x14ac:dyDescent="0.55000000000000004">
      <c r="A2" t="s">
        <v>0</v>
      </c>
      <c r="B2" s="1">
        <v>2.0000000000000002E-5</v>
      </c>
      <c r="C2" t="s">
        <v>5</v>
      </c>
      <c r="D2" s="1">
        <f>B2*D3</f>
        <v>6.0000000000000006E-4</v>
      </c>
      <c r="E2" t="s">
        <v>18</v>
      </c>
      <c r="F2" s="1">
        <f>D5*(1/B8/2-D5)/(4*(D6+D7+D7))</f>
        <v>9.148148148148147E-4</v>
      </c>
    </row>
    <row r="3" spans="1:23" x14ac:dyDescent="0.55000000000000004">
      <c r="A3" t="s">
        <v>1</v>
      </c>
      <c r="B3" s="1">
        <f>1/((2*PI()*B8)^2*B2)</f>
        <v>1.4072386616991357E-6</v>
      </c>
      <c r="C3" t="s">
        <v>4</v>
      </c>
      <c r="D3">
        <v>30</v>
      </c>
    </row>
    <row r="4" spans="1:23" x14ac:dyDescent="0.55000000000000004">
      <c r="A4" t="s">
        <v>2</v>
      </c>
      <c r="B4" s="1">
        <f>Sheet2!$D$4</f>
        <v>8.105694691387022</v>
      </c>
      <c r="C4" t="s">
        <v>10</v>
      </c>
      <c r="D4" s="1">
        <f>SQRT(B2/B3)/B4</f>
        <v>0.46509415020449729</v>
      </c>
    </row>
    <row r="5" spans="1:23" x14ac:dyDescent="0.55000000000000004">
      <c r="C5" s="3" t="s">
        <v>15</v>
      </c>
      <c r="D5" s="1">
        <v>1.9999999999999999E-7</v>
      </c>
    </row>
    <row r="6" spans="1:23" x14ac:dyDescent="0.55000000000000004">
      <c r="A6" t="s">
        <v>6</v>
      </c>
      <c r="C6" t="s">
        <v>16</v>
      </c>
      <c r="D6" s="1">
        <v>3E-10</v>
      </c>
    </row>
    <row r="7" spans="1:23" x14ac:dyDescent="0.55000000000000004">
      <c r="A7" t="s">
        <v>7</v>
      </c>
      <c r="C7" t="s">
        <v>17</v>
      </c>
      <c r="D7" s="1">
        <v>3E-10</v>
      </c>
    </row>
    <row r="8" spans="1:23" x14ac:dyDescent="0.55000000000000004">
      <c r="A8" t="s">
        <v>3</v>
      </c>
      <c r="B8" s="1">
        <v>30000</v>
      </c>
    </row>
    <row r="10" spans="1:23" x14ac:dyDescent="0.55000000000000004">
      <c r="B10" s="1"/>
      <c r="D10" s="1"/>
      <c r="E10" s="1"/>
      <c r="G10" s="1"/>
      <c r="R10" t="s">
        <v>29</v>
      </c>
    </row>
    <row r="11" spans="1:23" x14ac:dyDescent="0.55000000000000004">
      <c r="A11" t="s">
        <v>22</v>
      </c>
      <c r="G11" s="1"/>
      <c r="J11" t="s">
        <v>22</v>
      </c>
      <c r="R11" t="s">
        <v>22</v>
      </c>
    </row>
    <row r="12" spans="1:23" x14ac:dyDescent="0.55000000000000004">
      <c r="A12" t="s">
        <v>0</v>
      </c>
      <c r="B12" s="1">
        <v>1.0000000000000001E-5</v>
      </c>
      <c r="C12" t="s">
        <v>5</v>
      </c>
      <c r="D12" s="1">
        <f>B12*D13</f>
        <v>3.0000000000000003E-4</v>
      </c>
      <c r="E12" t="s">
        <v>18</v>
      </c>
      <c r="F12" s="1">
        <f>D18*(1/B20/2-D18)/(4*(D19+D20+D20))</f>
        <v>3.0169753086419756E-3</v>
      </c>
      <c r="J12" t="s">
        <v>0</v>
      </c>
      <c r="K12" s="1">
        <f>1/((2*PI()*K23)^2*K13)</f>
        <v>6.851812925940002E-6</v>
      </c>
      <c r="L12" t="s">
        <v>5</v>
      </c>
      <c r="M12" s="1">
        <f>K12*M13</f>
        <v>1.0277719388910003E-4</v>
      </c>
      <c r="N12" t="s">
        <v>18</v>
      </c>
      <c r="O12" s="1">
        <f>M20/(16*M21*4*K23)</f>
        <v>4.8076923076923074E-4</v>
      </c>
      <c r="R12" t="s">
        <v>0</v>
      </c>
      <c r="S12" s="1">
        <f>1/((2*PI()*B21)^2*S13)</f>
        <v>5.0035152415969275E-5</v>
      </c>
      <c r="T12" t="s">
        <v>5</v>
      </c>
      <c r="U12" s="1">
        <f>S12*U13</f>
        <v>2.5017576207984637E-3</v>
      </c>
      <c r="V12" t="s">
        <v>18</v>
      </c>
      <c r="W12" s="1" t="e">
        <f>U18*(1/S20/2-U18)/(4*(U19+U20+U20))</f>
        <v>#DIV/0!</v>
      </c>
    </row>
    <row r="13" spans="1:23" x14ac:dyDescent="0.55000000000000004">
      <c r="A13" t="s">
        <v>1</v>
      </c>
      <c r="B13" s="1">
        <f>1/((2*PI()*B21)^2*B12)</f>
        <v>5.0035152415969263E-6</v>
      </c>
      <c r="C13" t="s">
        <v>4</v>
      </c>
      <c r="D13">
        <v>30</v>
      </c>
      <c r="H13" t="e">
        <f>1/((2*PI()*K23)^2*K11)</f>
        <v>#DIV/0!</v>
      </c>
      <c r="J13" t="s">
        <v>1</v>
      </c>
      <c r="K13" s="1">
        <v>3.4999999999999999E-6</v>
      </c>
      <c r="L13" t="s">
        <v>4</v>
      </c>
      <c r="M13">
        <v>15</v>
      </c>
      <c r="N13" t="s">
        <v>35</v>
      </c>
      <c r="O13" s="1">
        <f>(1000^2/8*(((1/K22)/(2*M12))^2+(PI()/Sheet2!C2)^2))^0.5</f>
        <v>339.0353667921222</v>
      </c>
      <c r="P13" s="1">
        <f>O13*SQRT(2)</f>
        <v>479.46841384155613</v>
      </c>
      <c r="R13" t="s">
        <v>1</v>
      </c>
      <c r="S13" s="1">
        <v>9.9999999999999995E-7</v>
      </c>
      <c r="T13" t="s">
        <v>4</v>
      </c>
      <c r="U13">
        <v>50</v>
      </c>
    </row>
    <row r="14" spans="1:23" x14ac:dyDescent="0.55000000000000004">
      <c r="A14" t="s">
        <v>24</v>
      </c>
      <c r="B14" s="1">
        <f>Sheet2!$D4</f>
        <v>8.105694691387022</v>
      </c>
      <c r="C14" t="s">
        <v>23</v>
      </c>
      <c r="D14" s="1">
        <f>SQRT($B$12/$B$13)/$B14</f>
        <v>0.1744103063266865</v>
      </c>
      <c r="J14" t="s">
        <v>31</v>
      </c>
      <c r="K14">
        <f>Sheet2!D6</f>
        <v>81.05694691387022</v>
      </c>
      <c r="L14" t="s">
        <v>33</v>
      </c>
      <c r="M14" s="1">
        <f>SQRT(K$12/K$13)/$K14</f>
        <v>1.7261498096647215E-2</v>
      </c>
      <c r="N14" t="s">
        <v>36</v>
      </c>
      <c r="R14" t="s">
        <v>24</v>
      </c>
      <c r="S14" s="1">
        <f>Sheet2!$D4</f>
        <v>8.105694691387022</v>
      </c>
      <c r="T14" t="s">
        <v>23</v>
      </c>
      <c r="U14" s="1">
        <f>SQRT($S$12/$S$13)/$S14</f>
        <v>0.87266462599716477</v>
      </c>
    </row>
    <row r="15" spans="1:23" x14ac:dyDescent="0.55000000000000004">
      <c r="A15" t="s">
        <v>25</v>
      </c>
      <c r="B15" s="1">
        <f>Sheet2!$D3</f>
        <v>4.052847345693511</v>
      </c>
      <c r="C15" t="s">
        <v>27</v>
      </c>
      <c r="D15" s="1">
        <f t="shared" ref="D15:D16" si="0">SQRT($B$12/$B$13)/$B15</f>
        <v>0.348820612653373</v>
      </c>
      <c r="J15" t="s">
        <v>32</v>
      </c>
      <c r="K15">
        <f>Sheet2!D5</f>
        <v>16.211389382774044</v>
      </c>
      <c r="L15" t="s">
        <v>34</v>
      </c>
      <c r="M15" s="1">
        <f>SQRT(K$12/K$13)/$K15</f>
        <v>8.6307490483236077E-2</v>
      </c>
      <c r="R15" t="s">
        <v>25</v>
      </c>
      <c r="S15" s="1">
        <f>Sheet2!$D3</f>
        <v>4.052847345693511</v>
      </c>
      <c r="T15" t="s">
        <v>27</v>
      </c>
      <c r="U15" s="1">
        <f t="shared" ref="U15:U16" si="1">SQRT($S$12/$S$13)/$S15</f>
        <v>1.7453292519943295</v>
      </c>
    </row>
    <row r="16" spans="1:23" x14ac:dyDescent="0.55000000000000004">
      <c r="A16" t="s">
        <v>26</v>
      </c>
      <c r="B16" s="1">
        <f>Sheet2!$D2</f>
        <v>2.7018982304623407</v>
      </c>
      <c r="C16" t="s">
        <v>28</v>
      </c>
      <c r="D16" s="1">
        <f t="shared" si="0"/>
        <v>0.52323091898005947</v>
      </c>
      <c r="J16" t="s">
        <v>24</v>
      </c>
      <c r="K16" s="1">
        <f>Sheet2!$D4</f>
        <v>8.105694691387022</v>
      </c>
      <c r="L16" t="s">
        <v>23</v>
      </c>
      <c r="M16" s="1">
        <f>SQRT(K$12/K$13)/$B14</f>
        <v>0.17261498096647215</v>
      </c>
      <c r="R16" t="s">
        <v>26</v>
      </c>
      <c r="S16" s="1">
        <f>Sheet2!$D2</f>
        <v>2.7018982304623407</v>
      </c>
      <c r="T16" t="s">
        <v>28</v>
      </c>
      <c r="U16" s="1">
        <f t="shared" si="1"/>
        <v>2.6179938779914944</v>
      </c>
    </row>
    <row r="17" spans="1:15" x14ac:dyDescent="0.55000000000000004">
      <c r="J17" t="s">
        <v>25</v>
      </c>
      <c r="K17" s="1">
        <f>Sheet2!$D3</f>
        <v>4.052847345693511</v>
      </c>
      <c r="L17" t="s">
        <v>27</v>
      </c>
      <c r="M17" s="1">
        <f>SQRT(K$12/K$13)/$B15</f>
        <v>0.34522996193294431</v>
      </c>
    </row>
    <row r="18" spans="1:15" x14ac:dyDescent="0.55000000000000004">
      <c r="C18" s="3" t="s">
        <v>15</v>
      </c>
      <c r="D18" s="1">
        <v>4.9999999999999998E-7</v>
      </c>
      <c r="J18" t="s">
        <v>26</v>
      </c>
      <c r="K18" s="1">
        <f>Sheet2!$D2</f>
        <v>2.7018982304623407</v>
      </c>
      <c r="L18" t="s">
        <v>28</v>
      </c>
      <c r="M18" s="1">
        <f>SQRT(K$12/K$13)/$B16</f>
        <v>0.51784494289941652</v>
      </c>
    </row>
    <row r="19" spans="1:15" x14ac:dyDescent="0.55000000000000004">
      <c r="A19" t="s">
        <v>6</v>
      </c>
      <c r="C19" t="s">
        <v>16</v>
      </c>
      <c r="D19" s="1">
        <v>3E-10</v>
      </c>
    </row>
    <row r="20" spans="1:15" x14ac:dyDescent="0.55000000000000004">
      <c r="A20" t="s">
        <v>7</v>
      </c>
      <c r="B20" s="1">
        <v>22500</v>
      </c>
      <c r="C20" t="s">
        <v>17</v>
      </c>
      <c r="D20" s="1">
        <v>3E-10</v>
      </c>
      <c r="L20" s="3" t="s">
        <v>15</v>
      </c>
      <c r="M20" s="1">
        <v>2.9999999999999999E-7</v>
      </c>
    </row>
    <row r="21" spans="1:15" x14ac:dyDescent="0.55000000000000004">
      <c r="A21" t="s">
        <v>3</v>
      </c>
      <c r="B21" s="1">
        <v>22500</v>
      </c>
      <c r="J21" t="s">
        <v>6</v>
      </c>
      <c r="L21" t="s">
        <v>16</v>
      </c>
      <c r="M21" s="1">
        <v>3E-10</v>
      </c>
      <c r="O21">
        <f>150/68.5</f>
        <v>2.1897810218978102</v>
      </c>
    </row>
    <row r="22" spans="1:15" x14ac:dyDescent="0.55000000000000004">
      <c r="A22" t="s">
        <v>6</v>
      </c>
      <c r="B22" s="1">
        <f>B20/B21</f>
        <v>1</v>
      </c>
      <c r="J22" t="s">
        <v>7</v>
      </c>
      <c r="K22" s="1">
        <v>27500</v>
      </c>
      <c r="L22" t="s">
        <v>17</v>
      </c>
      <c r="M22" s="1">
        <v>3E-10</v>
      </c>
    </row>
    <row r="23" spans="1:15" x14ac:dyDescent="0.55000000000000004">
      <c r="J23" t="s">
        <v>3</v>
      </c>
      <c r="K23" s="1">
        <v>32500</v>
      </c>
    </row>
    <row r="24" spans="1:15" x14ac:dyDescent="0.55000000000000004">
      <c r="J24" t="s">
        <v>6</v>
      </c>
      <c r="K24" s="1">
        <f>K22/K23</f>
        <v>0.84615384615384615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8C1A-B4A4-4C3D-83F7-4C3D2F4523A9}">
  <dimension ref="A1:E10"/>
  <sheetViews>
    <sheetView workbookViewId="0">
      <selection activeCell="E39" sqref="E39"/>
    </sheetView>
  </sheetViews>
  <sheetFormatPr defaultRowHeight="14.4" x14ac:dyDescent="0.55000000000000004"/>
  <cols>
    <col min="5" max="5" width="15.26171875" customWidth="1"/>
  </cols>
  <sheetData>
    <row r="1" spans="1:5" x14ac:dyDescent="0.55000000000000004">
      <c r="A1" t="s">
        <v>11</v>
      </c>
      <c r="B1" t="s">
        <v>12</v>
      </c>
      <c r="C1" t="s">
        <v>13</v>
      </c>
      <c r="D1" t="s">
        <v>2</v>
      </c>
      <c r="E1" t="s">
        <v>10</v>
      </c>
    </row>
    <row r="2" spans="1:5" x14ac:dyDescent="0.55000000000000004">
      <c r="A2">
        <v>300000</v>
      </c>
      <c r="B2">
        <v>1000</v>
      </c>
      <c r="C2">
        <f>B2^2/A2</f>
        <v>3.3333333333333335</v>
      </c>
      <c r="D2">
        <f>8/(PI())^2*C2</f>
        <v>2.7018982304623407</v>
      </c>
      <c r="E2" s="2">
        <f>SQRT('100k'!$B$1/'100k'!$B$2)/Sheet2!D2</f>
        <v>1.3952824506134918</v>
      </c>
    </row>
    <row r="3" spans="1:5" x14ac:dyDescent="0.55000000000000004">
      <c r="A3" s="1">
        <v>200000</v>
      </c>
      <c r="B3">
        <v>1000</v>
      </c>
      <c r="C3">
        <f>B3^2/A3</f>
        <v>5</v>
      </c>
      <c r="D3">
        <f>8/(PI())^2*C3</f>
        <v>4.052847345693511</v>
      </c>
      <c r="E3" s="2"/>
    </row>
    <row r="4" spans="1:5" x14ac:dyDescent="0.55000000000000004">
      <c r="A4">
        <v>100000</v>
      </c>
      <c r="B4">
        <v>1000</v>
      </c>
      <c r="C4">
        <f>B4^2/A4</f>
        <v>10</v>
      </c>
      <c r="D4">
        <f>8/(PI())^2*C4</f>
        <v>8.105694691387022</v>
      </c>
      <c r="E4" s="2">
        <f>SQRT('100k'!$B$1/'100k'!$B$2)/Sheet2!D4</f>
        <v>0.46509415020449729</v>
      </c>
    </row>
    <row r="5" spans="1:5" x14ac:dyDescent="0.55000000000000004">
      <c r="A5" s="1">
        <v>50000</v>
      </c>
      <c r="B5">
        <v>1000</v>
      </c>
      <c r="C5">
        <f t="shared" ref="C5:C10" si="0">B5^2/A5</f>
        <v>20</v>
      </c>
      <c r="D5">
        <f t="shared" ref="D5:D10" si="1">8/PI()^2*C5</f>
        <v>16.211389382774044</v>
      </c>
      <c r="E5" s="2">
        <f>SQRT('100k'!$B$1/'100k'!$B$2)/Sheet2!D5</f>
        <v>0.23254707510224865</v>
      </c>
    </row>
    <row r="6" spans="1:5" x14ac:dyDescent="0.55000000000000004">
      <c r="A6">
        <v>10000</v>
      </c>
      <c r="B6">
        <v>1000</v>
      </c>
      <c r="C6">
        <f t="shared" si="0"/>
        <v>100</v>
      </c>
      <c r="D6">
        <f t="shared" si="1"/>
        <v>81.05694691387022</v>
      </c>
      <c r="E6" s="2">
        <f>SQRT('100k'!$B$1/'100k'!$B$2)/Sheet2!D6</f>
        <v>4.6509415020449724E-2</v>
      </c>
    </row>
    <row r="7" spans="1:5" x14ac:dyDescent="0.55000000000000004">
      <c r="A7" s="1">
        <v>5000</v>
      </c>
      <c r="B7">
        <v>1000</v>
      </c>
      <c r="C7">
        <f t="shared" si="0"/>
        <v>200</v>
      </c>
      <c r="D7">
        <f t="shared" si="1"/>
        <v>162.11389382774044</v>
      </c>
      <c r="E7" s="2">
        <f>SQRT('100k'!$B$1/'100k'!$B$2)/Sheet2!D7</f>
        <v>2.3254707510224862E-2</v>
      </c>
    </row>
    <row r="8" spans="1:5" x14ac:dyDescent="0.55000000000000004">
      <c r="A8">
        <v>1000</v>
      </c>
      <c r="B8">
        <v>1000</v>
      </c>
      <c r="C8">
        <f t="shared" si="0"/>
        <v>1000</v>
      </c>
      <c r="D8">
        <f t="shared" si="1"/>
        <v>810.56946913870217</v>
      </c>
      <c r="E8" s="2">
        <f>SQRT('100k'!$B$1/'100k'!$B$2)/Sheet2!D8</f>
        <v>4.6509415020449729E-3</v>
      </c>
    </row>
    <row r="9" spans="1:5" x14ac:dyDescent="0.55000000000000004">
      <c r="A9" s="1">
        <v>500</v>
      </c>
      <c r="B9">
        <v>1000</v>
      </c>
      <c r="C9">
        <f t="shared" si="0"/>
        <v>2000</v>
      </c>
      <c r="D9">
        <f t="shared" si="1"/>
        <v>1621.1389382774043</v>
      </c>
      <c r="E9" s="2">
        <f>SQRT('100k'!$B$1/'100k'!$B$2)/Sheet2!D9</f>
        <v>2.3254707510224864E-3</v>
      </c>
    </row>
    <row r="10" spans="1:5" x14ac:dyDescent="0.55000000000000004">
      <c r="A10">
        <v>100</v>
      </c>
      <c r="B10">
        <v>1000</v>
      </c>
      <c r="C10">
        <f t="shared" si="0"/>
        <v>10000</v>
      </c>
      <c r="D10">
        <f t="shared" si="1"/>
        <v>8105.6946913870224</v>
      </c>
      <c r="E10" s="2">
        <f>SQRT('100k'!$B$1/'100k'!$B$2)/Sheet2!D10</f>
        <v>4.6509415020449727E-4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ACB73-DC55-42F9-9234-81E6B53BEFD6}">
  <dimension ref="A1:O41"/>
  <sheetViews>
    <sheetView topLeftCell="A21" zoomScale="96" zoomScaleNormal="130" workbookViewId="0">
      <selection activeCell="E12" sqref="E12"/>
    </sheetView>
  </sheetViews>
  <sheetFormatPr defaultRowHeight="14.4" x14ac:dyDescent="0.55000000000000004"/>
  <cols>
    <col min="1" max="1" width="25.578125" bestFit="1" customWidth="1"/>
    <col min="2" max="2" width="21.15625" bestFit="1" customWidth="1"/>
    <col min="4" max="4" width="22.41796875" bestFit="1" customWidth="1"/>
    <col min="6" max="6" width="23.41796875" bestFit="1" customWidth="1"/>
  </cols>
  <sheetData>
    <row r="1" spans="1:15" x14ac:dyDescent="0.55000000000000004">
      <c r="A1" t="s">
        <v>30</v>
      </c>
    </row>
    <row r="2" spans="1:15" x14ac:dyDescent="0.55000000000000004">
      <c r="A2" t="s">
        <v>11</v>
      </c>
      <c r="B2" t="s">
        <v>52</v>
      </c>
      <c r="C2">
        <v>300000</v>
      </c>
      <c r="E2" t="s">
        <v>35</v>
      </c>
      <c r="F2" t="s">
        <v>55</v>
      </c>
      <c r="G2">
        <f>SQRT((C3^2/8)*(((1/C6)/(2*C11))^2+(PI()/C5)^2))</f>
        <v>335.86394784550583</v>
      </c>
      <c r="H2">
        <f>SQRT(2)/2*(PI())*300000/1000+1000/(4*150*10^-6*30000)</f>
        <v>721.98799627931044</v>
      </c>
      <c r="I2" s="3" t="s">
        <v>42</v>
      </c>
      <c r="K2">
        <f>ASIN((C3*1/C6)/(4*SQRT(2)*C11*G2))</f>
        <v>0.12564802482418441</v>
      </c>
      <c r="M2">
        <f>K2*180/PI()</f>
        <v>7.1991015265807645</v>
      </c>
    </row>
    <row r="3" spans="1:15" x14ac:dyDescent="0.55000000000000004">
      <c r="A3" t="s">
        <v>12</v>
      </c>
      <c r="B3" t="s">
        <v>53</v>
      </c>
      <c r="C3">
        <v>1000</v>
      </c>
      <c r="E3" t="s">
        <v>36</v>
      </c>
      <c r="F3" t="s">
        <v>57</v>
      </c>
      <c r="G3" s="1">
        <f>G2</f>
        <v>335.86394784550583</v>
      </c>
      <c r="I3" t="s">
        <v>81</v>
      </c>
      <c r="K3" s="1">
        <f>K2/(2*PI()*C6)</f>
        <v>7.1419658001793302E-7</v>
      </c>
    </row>
    <row r="4" spans="1:15" x14ac:dyDescent="0.55000000000000004">
      <c r="A4" t="s">
        <v>37</v>
      </c>
      <c r="B4" t="s">
        <v>54</v>
      </c>
      <c r="C4">
        <f>C2/C3</f>
        <v>300</v>
      </c>
      <c r="E4" t="s">
        <v>40</v>
      </c>
      <c r="F4" t="s">
        <v>56</v>
      </c>
      <c r="G4">
        <f>G2*SQRT(2)</f>
        <v>474.98335015528426</v>
      </c>
      <c r="H4">
        <f>SQRT(2)/2*(PI())*300000/1000+1000/(4*150*10^-6*27000)</f>
        <v>728.1608357854833</v>
      </c>
      <c r="O4">
        <f>ASIN((C3*1/C6)/(4*SQRT(2)*C11*G2))</f>
        <v>0.12564802482418441</v>
      </c>
    </row>
    <row r="5" spans="1:15" x14ac:dyDescent="0.55000000000000004">
      <c r="A5" t="s">
        <v>13</v>
      </c>
      <c r="B5" t="s">
        <v>80</v>
      </c>
      <c r="C5">
        <f>C3/C4</f>
        <v>3.3333333333333335</v>
      </c>
      <c r="E5" t="s">
        <v>41</v>
      </c>
      <c r="F5" t="s">
        <v>58</v>
      </c>
      <c r="G5" s="1">
        <f>G3*SQRT(2)</f>
        <v>474.98335015528426</v>
      </c>
      <c r="H5">
        <f>SQRT(2)/2*(PI())*300000/1000</f>
        <v>666.43244072375489</v>
      </c>
    </row>
    <row r="6" spans="1:15" x14ac:dyDescent="0.55000000000000004">
      <c r="A6" t="s">
        <v>7</v>
      </c>
      <c r="B6" t="s">
        <v>59</v>
      </c>
      <c r="C6" s="1">
        <v>28000</v>
      </c>
      <c r="E6" t="s">
        <v>15</v>
      </c>
      <c r="F6" s="3" t="s">
        <v>77</v>
      </c>
      <c r="K6" s="1">
        <f>4*2*PI()*C6*10^-7</f>
        <v>7.0371675440411355E-2</v>
      </c>
    </row>
    <row r="7" spans="1:15" x14ac:dyDescent="0.55000000000000004">
      <c r="A7" t="s">
        <v>3</v>
      </c>
      <c r="B7" t="s">
        <v>76</v>
      </c>
      <c r="C7" s="1">
        <v>30000</v>
      </c>
      <c r="F7" s="3"/>
    </row>
    <row r="8" spans="1:15" s="3" customFormat="1" x14ac:dyDescent="0.55000000000000004">
      <c r="A8" t="s">
        <v>78</v>
      </c>
      <c r="B8" s="3" t="s">
        <v>79</v>
      </c>
    </row>
    <row r="9" spans="1:15" x14ac:dyDescent="0.55000000000000004">
      <c r="A9" s="3" t="s">
        <v>48</v>
      </c>
    </row>
    <row r="10" spans="1:15" x14ac:dyDescent="0.55000000000000004">
      <c r="A10" t="s">
        <v>49</v>
      </c>
      <c r="B10" t="s">
        <v>51</v>
      </c>
      <c r="C10" s="1">
        <f>C11*C13/(C12*E11)</f>
        <v>7.4999999999999982</v>
      </c>
      <c r="D10" t="s">
        <v>75</v>
      </c>
      <c r="E10">
        <v>10</v>
      </c>
    </row>
    <row r="11" spans="1:15" x14ac:dyDescent="0.55000000000000004">
      <c r="A11" t="s">
        <v>50</v>
      </c>
      <c r="B11" t="s">
        <v>5</v>
      </c>
      <c r="C11" s="1">
        <v>1.4999999999999999E-4</v>
      </c>
      <c r="D11" t="s">
        <v>84</v>
      </c>
      <c r="E11">
        <v>0.4</v>
      </c>
    </row>
    <row r="12" spans="1:15" x14ac:dyDescent="0.55000000000000004">
      <c r="A12" t="s">
        <v>71</v>
      </c>
      <c r="B12" t="s">
        <v>68</v>
      </c>
      <c r="C12">
        <f>C23</f>
        <v>2.5000000000000001E-2</v>
      </c>
      <c r="F12">
        <f>1/3*10^-4</f>
        <v>3.3333333333333335E-5</v>
      </c>
    </row>
    <row r="13" spans="1:15" x14ac:dyDescent="0.55000000000000004">
      <c r="A13" t="s">
        <v>82</v>
      </c>
      <c r="B13" t="s">
        <v>83</v>
      </c>
      <c r="C13">
        <v>500</v>
      </c>
      <c r="E13">
        <f>10^2*2500*4*PI()*10^-7*C12/0.12</f>
        <v>6.5449846949787366E-2</v>
      </c>
    </row>
    <row r="14" spans="1:15" x14ac:dyDescent="0.55000000000000004">
      <c r="A14" s="3" t="s">
        <v>38</v>
      </c>
      <c r="B14" s="3" t="s">
        <v>86</v>
      </c>
      <c r="D14" s="3" t="s">
        <v>87</v>
      </c>
    </row>
    <row r="15" spans="1:15" x14ac:dyDescent="0.55000000000000004">
      <c r="A15" t="s">
        <v>39</v>
      </c>
      <c r="B15" s="1">
        <f>B16*B17</f>
        <v>29462782.549439479</v>
      </c>
      <c r="D15" s="1">
        <f>D23*220*26</f>
        <v>143000000</v>
      </c>
      <c r="L15">
        <f>145944*3</f>
        <v>437832</v>
      </c>
    </row>
    <row r="16" spans="1:15" x14ac:dyDescent="0.55000000000000004">
      <c r="A16" t="s">
        <v>67</v>
      </c>
      <c r="B16">
        <f>(10/(5*0.9)*(500/SQRT(2))*2)</f>
        <v>1571.3484026367721</v>
      </c>
    </row>
    <row r="17" spans="1:10" x14ac:dyDescent="0.55000000000000004">
      <c r="A17" t="s">
        <v>68</v>
      </c>
      <c r="B17" s="1">
        <f>(C11*500)/(10*0.4)*10^6</f>
        <v>18750</v>
      </c>
    </row>
    <row r="18" spans="1:10" x14ac:dyDescent="0.55000000000000004">
      <c r="A18" s="4"/>
    </row>
    <row r="19" spans="1:10" x14ac:dyDescent="0.55000000000000004">
      <c r="A19" s="3" t="s">
        <v>43</v>
      </c>
      <c r="D19" t="s">
        <v>85</v>
      </c>
      <c r="G19" s="3" t="s">
        <v>88</v>
      </c>
    </row>
    <row r="20" spans="1:10" x14ac:dyDescent="0.55000000000000004">
      <c r="A20" t="s">
        <v>47</v>
      </c>
      <c r="B20" t="s">
        <v>60</v>
      </c>
      <c r="C20">
        <v>5</v>
      </c>
      <c r="F20" t="s">
        <v>106</v>
      </c>
      <c r="G20">
        <f>D30/2+B31+B32</f>
        <v>5.5</v>
      </c>
      <c r="I20" t="s">
        <v>89</v>
      </c>
      <c r="J20">
        <f>D22+1*G21</f>
        <v>111</v>
      </c>
    </row>
    <row r="21" spans="1:10" x14ac:dyDescent="0.55000000000000004">
      <c r="A21" t="s">
        <v>61</v>
      </c>
      <c r="B21" t="s">
        <v>69</v>
      </c>
      <c r="C21">
        <f>250/1000</f>
        <v>0.25</v>
      </c>
      <c r="D21">
        <f>1000*C21</f>
        <v>250</v>
      </c>
      <c r="F21" t="s">
        <v>107</v>
      </c>
      <c r="G21">
        <f>G20*2</f>
        <v>11</v>
      </c>
      <c r="I21" t="s">
        <v>90</v>
      </c>
      <c r="J21">
        <f>D21+2*G21</f>
        <v>272</v>
      </c>
    </row>
    <row r="22" spans="1:10" x14ac:dyDescent="0.55000000000000004">
      <c r="A22" t="s">
        <v>62</v>
      </c>
      <c r="B22" t="s">
        <v>70</v>
      </c>
      <c r="C22">
        <f>100/1000</f>
        <v>0.1</v>
      </c>
      <c r="D22">
        <f t="shared" ref="D22:D26" si="0">1000*C22</f>
        <v>100</v>
      </c>
      <c r="I22" t="s">
        <v>91</v>
      </c>
      <c r="J22">
        <f>D22+G21*2</f>
        <v>122</v>
      </c>
    </row>
    <row r="23" spans="1:10" x14ac:dyDescent="0.55000000000000004">
      <c r="A23" t="s">
        <v>63</v>
      </c>
      <c r="B23" t="s">
        <v>71</v>
      </c>
      <c r="C23">
        <f>C21*C22</f>
        <v>2.5000000000000001E-2</v>
      </c>
      <c r="D23">
        <f>1000*C23*1000</f>
        <v>25000</v>
      </c>
      <c r="I23" t="s">
        <v>92</v>
      </c>
      <c r="J23">
        <f>D21+G21*4</f>
        <v>294</v>
      </c>
    </row>
    <row r="24" spans="1:10" x14ac:dyDescent="0.55000000000000004">
      <c r="A24" t="s">
        <v>64</v>
      </c>
      <c r="B24" t="s">
        <v>72</v>
      </c>
      <c r="C24">
        <f>C23/2</f>
        <v>1.2500000000000001E-2</v>
      </c>
      <c r="D24">
        <f>1000*C24*1000</f>
        <v>12500</v>
      </c>
      <c r="I24" t="s">
        <v>93</v>
      </c>
      <c r="J24">
        <f>D22+3*G21+G21</f>
        <v>144</v>
      </c>
    </row>
    <row r="25" spans="1:10" x14ac:dyDescent="0.55000000000000004">
      <c r="A25" t="s">
        <v>65</v>
      </c>
      <c r="B25" t="s">
        <v>73</v>
      </c>
      <c r="C25">
        <f>C21</f>
        <v>0.25</v>
      </c>
      <c r="D25">
        <f t="shared" si="0"/>
        <v>250</v>
      </c>
      <c r="I25" t="s">
        <v>94</v>
      </c>
      <c r="J25">
        <f>D21+6*G21</f>
        <v>316</v>
      </c>
    </row>
    <row r="26" spans="1:10" x14ac:dyDescent="0.55000000000000004">
      <c r="A26" t="s">
        <v>66</v>
      </c>
      <c r="B26" t="s">
        <v>74</v>
      </c>
      <c r="C26">
        <f>C22/2</f>
        <v>0.05</v>
      </c>
      <c r="D26">
        <f t="shared" si="0"/>
        <v>50</v>
      </c>
      <c r="I26" t="s">
        <v>95</v>
      </c>
      <c r="J26">
        <f>D22+6*G21</f>
        <v>166</v>
      </c>
    </row>
    <row r="27" spans="1:10" x14ac:dyDescent="0.55000000000000004">
      <c r="I27" t="s">
        <v>96</v>
      </c>
      <c r="J27">
        <f>D21+8*G21</f>
        <v>338</v>
      </c>
    </row>
    <row r="28" spans="1:10" x14ac:dyDescent="0.55000000000000004">
      <c r="A28" s="3" t="s">
        <v>44</v>
      </c>
      <c r="I28" t="s">
        <v>97</v>
      </c>
    </row>
    <row r="29" spans="1:10" x14ac:dyDescent="0.55000000000000004">
      <c r="A29" t="s">
        <v>46</v>
      </c>
      <c r="B29">
        <v>12.5</v>
      </c>
      <c r="D29">
        <v>20</v>
      </c>
      <c r="E29">
        <v>25</v>
      </c>
      <c r="I29" t="s">
        <v>98</v>
      </c>
    </row>
    <row r="30" spans="1:10" x14ac:dyDescent="0.55000000000000004">
      <c r="A30" t="s">
        <v>45</v>
      </c>
      <c r="B30">
        <v>8</v>
      </c>
      <c r="D30">
        <v>5</v>
      </c>
      <c r="E30">
        <v>4</v>
      </c>
      <c r="I30" t="s">
        <v>99</v>
      </c>
    </row>
    <row r="31" spans="1:10" x14ac:dyDescent="0.55000000000000004">
      <c r="A31" s="3" t="s">
        <v>104</v>
      </c>
      <c r="B31">
        <v>2</v>
      </c>
      <c r="I31" t="s">
        <v>100</v>
      </c>
    </row>
    <row r="32" spans="1:10" x14ac:dyDescent="0.55000000000000004">
      <c r="A32" t="s">
        <v>105</v>
      </c>
      <c r="B32">
        <v>1</v>
      </c>
      <c r="I32" t="s">
        <v>101</v>
      </c>
    </row>
    <row r="33" spans="1:9" x14ac:dyDescent="0.55000000000000004">
      <c r="I33" t="s">
        <v>102</v>
      </c>
    </row>
    <row r="34" spans="1:9" x14ac:dyDescent="0.55000000000000004">
      <c r="D34" s="5"/>
      <c r="I34" t="s">
        <v>103</v>
      </c>
    </row>
    <row r="37" spans="1:9" x14ac:dyDescent="0.55000000000000004">
      <c r="A37" s="3" t="s">
        <v>108</v>
      </c>
      <c r="B37" s="6">
        <f>(E10^2*B40*B41*C23^2/C11-C23*(B38+B39))*1/((B41-1)*2*C23)*10^3</f>
        <v>10.278887066792697</v>
      </c>
    </row>
    <row r="38" spans="1:9" x14ac:dyDescent="0.55000000000000004">
      <c r="A38" t="s">
        <v>109</v>
      </c>
      <c r="B38">
        <v>0.36</v>
      </c>
    </row>
    <row r="39" spans="1:9" x14ac:dyDescent="0.55000000000000004">
      <c r="A39" t="s">
        <v>110</v>
      </c>
      <c r="B39">
        <v>0.626</v>
      </c>
    </row>
    <row r="40" spans="1:9" x14ac:dyDescent="0.55000000000000004">
      <c r="A40" t="s">
        <v>111</v>
      </c>
      <c r="B40">
        <f>4*PI()*10^-7</f>
        <v>1.2566370614359173E-6</v>
      </c>
    </row>
    <row r="41" spans="1:9" x14ac:dyDescent="0.55000000000000004">
      <c r="A41" t="s">
        <v>112</v>
      </c>
      <c r="B41">
        <v>2500</v>
      </c>
    </row>
  </sheetData>
  <phoneticPr fontId="3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E040-2D89-4BAA-9F09-1772101F4909}">
  <dimension ref="A1:Q41"/>
  <sheetViews>
    <sheetView zoomScale="96" zoomScaleNormal="130" workbookViewId="0">
      <selection activeCell="D15" sqref="D15"/>
    </sheetView>
  </sheetViews>
  <sheetFormatPr defaultRowHeight="14.4" x14ac:dyDescent="0.55000000000000004"/>
  <cols>
    <col min="1" max="1" width="25.578125" bestFit="1" customWidth="1"/>
    <col min="2" max="2" width="21.15625" bestFit="1" customWidth="1"/>
    <col min="4" max="4" width="22.41796875" bestFit="1" customWidth="1"/>
    <col min="6" max="6" width="23.41796875" bestFit="1" customWidth="1"/>
    <col min="17" max="17" width="12.41796875" bestFit="1" customWidth="1"/>
  </cols>
  <sheetData>
    <row r="1" spans="1:17" x14ac:dyDescent="0.55000000000000004">
      <c r="A1" t="s">
        <v>30</v>
      </c>
    </row>
    <row r="2" spans="1:17" x14ac:dyDescent="0.55000000000000004">
      <c r="A2" t="s">
        <v>11</v>
      </c>
      <c r="B2" t="s">
        <v>52</v>
      </c>
      <c r="C2">
        <v>300000</v>
      </c>
      <c r="E2" t="s">
        <v>35</v>
      </c>
      <c r="F2" t="s">
        <v>55</v>
      </c>
      <c r="G2">
        <f>SQRT((C3^2/8)*(((1/C6)/(2*C11))^2+(PI()/C5)^2))</f>
        <v>335.86394784550583</v>
      </c>
      <c r="I2" s="3" t="s">
        <v>42</v>
      </c>
      <c r="K2">
        <f>ASIN((C3*1/C6)/(4*SQRT(2)*C11*G2))</f>
        <v>0.12564802482418441</v>
      </c>
      <c r="M2">
        <f>K2*180/PI()</f>
        <v>7.1991015265807645</v>
      </c>
    </row>
    <row r="3" spans="1:17" x14ac:dyDescent="0.55000000000000004">
      <c r="A3" t="s">
        <v>12</v>
      </c>
      <c r="B3" t="s">
        <v>53</v>
      </c>
      <c r="C3">
        <v>1000</v>
      </c>
      <c r="E3" t="s">
        <v>36</v>
      </c>
      <c r="F3" t="s">
        <v>57</v>
      </c>
      <c r="G3" s="1">
        <f>G2</f>
        <v>335.86394784550583</v>
      </c>
      <c r="I3" t="s">
        <v>81</v>
      </c>
      <c r="K3" s="1">
        <f>K2/(2*PI()*C6)</f>
        <v>7.1419658001793302E-7</v>
      </c>
    </row>
    <row r="4" spans="1:17" x14ac:dyDescent="0.55000000000000004">
      <c r="A4" t="s">
        <v>37</v>
      </c>
      <c r="B4" t="s">
        <v>54</v>
      </c>
      <c r="C4">
        <f>C2/C3</f>
        <v>300</v>
      </c>
      <c r="E4" t="s">
        <v>40</v>
      </c>
      <c r="F4" t="s">
        <v>56</v>
      </c>
      <c r="G4">
        <f>G2*SQRT(2)</f>
        <v>474.98335015528426</v>
      </c>
      <c r="O4">
        <f>ASIN((C3*1/C6)/(4*SQRT(2)*C11*G2))</f>
        <v>0.12564802482418441</v>
      </c>
    </row>
    <row r="5" spans="1:17" x14ac:dyDescent="0.55000000000000004">
      <c r="A5" t="s">
        <v>13</v>
      </c>
      <c r="B5" t="s">
        <v>80</v>
      </c>
      <c r="C5">
        <f>C3/C4</f>
        <v>3.3333333333333335</v>
      </c>
      <c r="E5" t="s">
        <v>41</v>
      </c>
      <c r="F5" t="s">
        <v>58</v>
      </c>
      <c r="G5" s="1">
        <f>G3*SQRT(2)</f>
        <v>474.98335015528426</v>
      </c>
    </row>
    <row r="6" spans="1:17" x14ac:dyDescent="0.55000000000000004">
      <c r="A6" t="s">
        <v>7</v>
      </c>
      <c r="B6" t="s">
        <v>59</v>
      </c>
      <c r="C6" s="1">
        <v>28000</v>
      </c>
      <c r="E6" t="s">
        <v>15</v>
      </c>
      <c r="F6" s="3" t="s">
        <v>77</v>
      </c>
      <c r="K6" s="1">
        <f>4*2*PI()*C6*10^-7</f>
        <v>7.0371675440411355E-2</v>
      </c>
    </row>
    <row r="7" spans="1:17" x14ac:dyDescent="0.55000000000000004">
      <c r="A7" t="s">
        <v>3</v>
      </c>
      <c r="B7" t="s">
        <v>76</v>
      </c>
      <c r="C7" s="1">
        <v>30000</v>
      </c>
      <c r="F7" s="3"/>
    </row>
    <row r="8" spans="1:17" s="3" customFormat="1" x14ac:dyDescent="0.55000000000000004">
      <c r="A8" t="s">
        <v>78</v>
      </c>
      <c r="B8" s="3" t="s">
        <v>79</v>
      </c>
    </row>
    <row r="9" spans="1:17" x14ac:dyDescent="0.55000000000000004">
      <c r="A9" s="3" t="s">
        <v>48</v>
      </c>
    </row>
    <row r="10" spans="1:17" x14ac:dyDescent="0.55000000000000004">
      <c r="A10" t="s">
        <v>49</v>
      </c>
      <c r="B10" t="s">
        <v>51</v>
      </c>
      <c r="C10" s="1">
        <f>C11*C13/(C12*E11)</f>
        <v>7.4999999999999982</v>
      </c>
      <c r="D10" t="s">
        <v>75</v>
      </c>
      <c r="E10">
        <v>8</v>
      </c>
    </row>
    <row r="11" spans="1:17" x14ac:dyDescent="0.55000000000000004">
      <c r="A11" t="s">
        <v>50</v>
      </c>
      <c r="B11" t="s">
        <v>5</v>
      </c>
      <c r="C11" s="1">
        <v>1.4999999999999999E-4</v>
      </c>
      <c r="D11" t="s">
        <v>84</v>
      </c>
      <c r="E11">
        <v>0.4</v>
      </c>
    </row>
    <row r="12" spans="1:17" x14ac:dyDescent="0.55000000000000004">
      <c r="A12" t="s">
        <v>71</v>
      </c>
      <c r="B12" t="s">
        <v>68</v>
      </c>
      <c r="C12">
        <f>C23</f>
        <v>2.5000000000000001E-2</v>
      </c>
      <c r="F12">
        <f>1/3*10^-4</f>
        <v>3.3333333333333335E-5</v>
      </c>
    </row>
    <row r="13" spans="1:17" x14ac:dyDescent="0.55000000000000004">
      <c r="A13" t="s">
        <v>82</v>
      </c>
      <c r="B13" t="s">
        <v>83</v>
      </c>
      <c r="C13">
        <v>500</v>
      </c>
      <c r="E13">
        <f>10^2*2500*4*PI()*10^-7*C12/0.12</f>
        <v>6.5449846949787366E-2</v>
      </c>
      <c r="Q13">
        <f>1/30000/4</f>
        <v>8.3333333333333337E-6</v>
      </c>
    </row>
    <row r="14" spans="1:17" x14ac:dyDescent="0.55000000000000004">
      <c r="A14" s="3" t="s">
        <v>38</v>
      </c>
      <c r="B14" s="3" t="s">
        <v>86</v>
      </c>
      <c r="D14" s="3" t="s">
        <v>87</v>
      </c>
    </row>
    <row r="15" spans="1:17" x14ac:dyDescent="0.55000000000000004">
      <c r="A15" t="s">
        <v>39</v>
      </c>
      <c r="B15" s="1">
        <f>B16*B17</f>
        <v>29462782.549439479</v>
      </c>
      <c r="D15" s="1">
        <f>D23*220*26</f>
        <v>143000000</v>
      </c>
      <c r="L15">
        <f>145944*3</f>
        <v>437832</v>
      </c>
    </row>
    <row r="16" spans="1:17" x14ac:dyDescent="0.55000000000000004">
      <c r="A16" t="s">
        <v>67</v>
      </c>
      <c r="B16">
        <f>(10/(5*0.9)*(500/SQRT(2))*2)</f>
        <v>1571.3484026367721</v>
      </c>
    </row>
    <row r="17" spans="1:10" x14ac:dyDescent="0.55000000000000004">
      <c r="A17" t="s">
        <v>68</v>
      </c>
      <c r="B17" s="1">
        <f>(C11*500)/(10*0.4)*10^6</f>
        <v>18750</v>
      </c>
    </row>
    <row r="18" spans="1:10" x14ac:dyDescent="0.55000000000000004">
      <c r="A18" s="4"/>
    </row>
    <row r="19" spans="1:10" x14ac:dyDescent="0.55000000000000004">
      <c r="A19" s="3" t="s">
        <v>43</v>
      </c>
      <c r="D19" t="s">
        <v>85</v>
      </c>
      <c r="G19" s="3" t="s">
        <v>88</v>
      </c>
    </row>
    <row r="20" spans="1:10" x14ac:dyDescent="0.55000000000000004">
      <c r="A20" t="s">
        <v>47</v>
      </c>
      <c r="B20" t="s">
        <v>60</v>
      </c>
      <c r="C20">
        <v>5</v>
      </c>
      <c r="F20" t="s">
        <v>106</v>
      </c>
      <c r="G20">
        <f>D30/2+B31+B32</f>
        <v>5.5</v>
      </c>
      <c r="I20" t="s">
        <v>89</v>
      </c>
      <c r="J20">
        <f>D22+1*G21</f>
        <v>111</v>
      </c>
    </row>
    <row r="21" spans="1:10" x14ac:dyDescent="0.55000000000000004">
      <c r="A21" t="s">
        <v>61</v>
      </c>
      <c r="B21" t="s">
        <v>69</v>
      </c>
      <c r="C21">
        <f>250/1000</f>
        <v>0.25</v>
      </c>
      <c r="D21">
        <f>1000*C21</f>
        <v>250</v>
      </c>
      <c r="F21" t="s">
        <v>107</v>
      </c>
      <c r="G21">
        <f>G20*2</f>
        <v>11</v>
      </c>
      <c r="I21" t="s">
        <v>90</v>
      </c>
      <c r="J21">
        <f>D21+2*G21</f>
        <v>272</v>
      </c>
    </row>
    <row r="22" spans="1:10" x14ac:dyDescent="0.55000000000000004">
      <c r="A22" t="s">
        <v>62</v>
      </c>
      <c r="B22" t="s">
        <v>70</v>
      </c>
      <c r="C22">
        <f>100/1000</f>
        <v>0.1</v>
      </c>
      <c r="D22">
        <f t="shared" ref="D22:D26" si="0">1000*C22</f>
        <v>100</v>
      </c>
      <c r="I22" t="s">
        <v>91</v>
      </c>
      <c r="J22">
        <f>D22+G21*2</f>
        <v>122</v>
      </c>
    </row>
    <row r="23" spans="1:10" x14ac:dyDescent="0.55000000000000004">
      <c r="A23" t="s">
        <v>63</v>
      </c>
      <c r="B23" t="s">
        <v>71</v>
      </c>
      <c r="C23">
        <f>C21*C22</f>
        <v>2.5000000000000001E-2</v>
      </c>
      <c r="D23">
        <f>1000*C23*1000</f>
        <v>25000</v>
      </c>
      <c r="I23" t="s">
        <v>92</v>
      </c>
      <c r="J23">
        <f>D21+G21*4</f>
        <v>294</v>
      </c>
    </row>
    <row r="24" spans="1:10" x14ac:dyDescent="0.55000000000000004">
      <c r="A24" t="s">
        <v>64</v>
      </c>
      <c r="B24" t="s">
        <v>72</v>
      </c>
      <c r="C24">
        <f>C23/2</f>
        <v>1.2500000000000001E-2</v>
      </c>
      <c r="D24">
        <f>1000*C24*1000</f>
        <v>12500</v>
      </c>
      <c r="I24" t="s">
        <v>93</v>
      </c>
      <c r="J24">
        <f>D22+3*G21+G21</f>
        <v>144</v>
      </c>
    </row>
    <row r="25" spans="1:10" x14ac:dyDescent="0.55000000000000004">
      <c r="A25" t="s">
        <v>65</v>
      </c>
      <c r="B25" t="s">
        <v>73</v>
      </c>
      <c r="C25">
        <f>C21</f>
        <v>0.25</v>
      </c>
      <c r="D25">
        <f t="shared" si="0"/>
        <v>250</v>
      </c>
      <c r="I25" t="s">
        <v>94</v>
      </c>
      <c r="J25">
        <f>D21+6*G21</f>
        <v>316</v>
      </c>
    </row>
    <row r="26" spans="1:10" x14ac:dyDescent="0.55000000000000004">
      <c r="A26" t="s">
        <v>66</v>
      </c>
      <c r="B26" t="s">
        <v>74</v>
      </c>
      <c r="C26">
        <f>C22/2</f>
        <v>0.05</v>
      </c>
      <c r="D26">
        <f t="shared" si="0"/>
        <v>50</v>
      </c>
      <c r="I26" t="s">
        <v>95</v>
      </c>
      <c r="J26">
        <f>D22+6*G21</f>
        <v>166</v>
      </c>
    </row>
    <row r="27" spans="1:10" x14ac:dyDescent="0.55000000000000004">
      <c r="I27" t="s">
        <v>96</v>
      </c>
      <c r="J27">
        <f>D21+8*G21</f>
        <v>338</v>
      </c>
    </row>
    <row r="28" spans="1:10" x14ac:dyDescent="0.55000000000000004">
      <c r="A28" s="3" t="s">
        <v>44</v>
      </c>
      <c r="I28" t="s">
        <v>97</v>
      </c>
    </row>
    <row r="29" spans="1:10" x14ac:dyDescent="0.55000000000000004">
      <c r="A29" t="s">
        <v>46</v>
      </c>
      <c r="B29">
        <v>12.5</v>
      </c>
      <c r="D29">
        <v>20</v>
      </c>
      <c r="E29">
        <v>25</v>
      </c>
      <c r="I29" t="s">
        <v>98</v>
      </c>
    </row>
    <row r="30" spans="1:10" x14ac:dyDescent="0.55000000000000004">
      <c r="A30" t="s">
        <v>45</v>
      </c>
      <c r="B30">
        <v>8</v>
      </c>
      <c r="D30">
        <v>5</v>
      </c>
      <c r="E30">
        <v>4</v>
      </c>
      <c r="I30" t="s">
        <v>99</v>
      </c>
    </row>
    <row r="31" spans="1:10" x14ac:dyDescent="0.55000000000000004">
      <c r="A31" s="3" t="s">
        <v>104</v>
      </c>
      <c r="B31">
        <v>2</v>
      </c>
      <c r="I31" t="s">
        <v>100</v>
      </c>
    </row>
    <row r="32" spans="1:10" x14ac:dyDescent="0.55000000000000004">
      <c r="A32" t="s">
        <v>105</v>
      </c>
      <c r="B32">
        <v>1</v>
      </c>
      <c r="I32" t="s">
        <v>101</v>
      </c>
    </row>
    <row r="33" spans="1:9" x14ac:dyDescent="0.55000000000000004">
      <c r="I33" t="s">
        <v>102</v>
      </c>
    </row>
    <row r="34" spans="1:9" x14ac:dyDescent="0.55000000000000004">
      <c r="D34" s="5"/>
      <c r="I34" t="s">
        <v>103</v>
      </c>
    </row>
    <row r="37" spans="1:9" x14ac:dyDescent="0.55000000000000004">
      <c r="A37" s="3" t="s">
        <v>108</v>
      </c>
      <c r="B37" s="6">
        <f>(E10^2*B40*B41*C23^2/C11-C23*(B38+B39))*1/((B41-1)*2*C23)*10^3</f>
        <v>6.507467314584062</v>
      </c>
    </row>
    <row r="38" spans="1:9" x14ac:dyDescent="0.55000000000000004">
      <c r="A38" t="s">
        <v>109</v>
      </c>
      <c r="B38">
        <v>0.36</v>
      </c>
    </row>
    <row r="39" spans="1:9" x14ac:dyDescent="0.55000000000000004">
      <c r="A39" t="s">
        <v>110</v>
      </c>
      <c r="B39">
        <v>0.626</v>
      </c>
    </row>
    <row r="40" spans="1:9" x14ac:dyDescent="0.55000000000000004">
      <c r="A40" t="s">
        <v>111</v>
      </c>
      <c r="B40">
        <f>4*PI()*10^-7</f>
        <v>1.2566370614359173E-6</v>
      </c>
    </row>
    <row r="41" spans="1:9" x14ac:dyDescent="0.55000000000000004">
      <c r="A41" t="s">
        <v>112</v>
      </c>
      <c r="B41">
        <v>2500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1D30-1582-4FCC-8BBD-1338FBE8009F}">
  <dimension ref="A1:D25"/>
  <sheetViews>
    <sheetView workbookViewId="0">
      <selection activeCell="G22" sqref="G22"/>
    </sheetView>
  </sheetViews>
  <sheetFormatPr defaultRowHeight="14.4" x14ac:dyDescent="0.55000000000000004"/>
  <cols>
    <col min="1" max="1" width="27.15625" bestFit="1" customWidth="1"/>
  </cols>
  <sheetData>
    <row r="1" spans="1:4" x14ac:dyDescent="0.55000000000000004">
      <c r="A1" t="s">
        <v>132</v>
      </c>
      <c r="B1">
        <v>10</v>
      </c>
    </row>
    <row r="2" spans="1:4" x14ac:dyDescent="0.55000000000000004">
      <c r="A2" t="s">
        <v>47</v>
      </c>
      <c r="B2">
        <v>5</v>
      </c>
    </row>
    <row r="3" spans="1:4" x14ac:dyDescent="0.55000000000000004">
      <c r="A3" t="s">
        <v>134</v>
      </c>
      <c r="B3" t="s">
        <v>137</v>
      </c>
    </row>
    <row r="4" spans="1:4" x14ac:dyDescent="0.55000000000000004">
      <c r="A4" t="s">
        <v>138</v>
      </c>
      <c r="B4">
        <v>250</v>
      </c>
    </row>
    <row r="5" spans="1:4" x14ac:dyDescent="0.55000000000000004">
      <c r="A5" t="s">
        <v>142</v>
      </c>
      <c r="B5">
        <v>10</v>
      </c>
    </row>
    <row r="6" spans="1:4" x14ac:dyDescent="0.55000000000000004">
      <c r="A6" s="3" t="s">
        <v>117</v>
      </c>
    </row>
    <row r="7" spans="1:4" x14ac:dyDescent="0.55000000000000004">
      <c r="A7" t="s">
        <v>113</v>
      </c>
      <c r="B7">
        <v>5</v>
      </c>
    </row>
    <row r="8" spans="1:4" x14ac:dyDescent="0.55000000000000004">
      <c r="A8" t="s">
        <v>114</v>
      </c>
      <c r="B8">
        <v>20</v>
      </c>
    </row>
    <row r="9" spans="1:4" x14ac:dyDescent="0.55000000000000004">
      <c r="A9" t="s">
        <v>115</v>
      </c>
      <c r="B9">
        <v>2</v>
      </c>
    </row>
    <row r="10" spans="1:4" x14ac:dyDescent="0.55000000000000004">
      <c r="A10" t="s">
        <v>116</v>
      </c>
      <c r="B10">
        <v>1</v>
      </c>
    </row>
    <row r="11" spans="1:4" x14ac:dyDescent="0.55000000000000004">
      <c r="A11" t="s">
        <v>118</v>
      </c>
      <c r="B11" t="s">
        <v>122</v>
      </c>
    </row>
    <row r="12" spans="1:4" x14ac:dyDescent="0.55000000000000004">
      <c r="A12" t="s">
        <v>119</v>
      </c>
      <c r="B12" t="s">
        <v>123</v>
      </c>
    </row>
    <row r="14" spans="1:4" x14ac:dyDescent="0.55000000000000004">
      <c r="A14" s="3" t="s">
        <v>120</v>
      </c>
      <c r="D14" s="3" t="s">
        <v>121</v>
      </c>
    </row>
    <row r="15" spans="1:4" x14ac:dyDescent="0.55000000000000004">
      <c r="A15" t="s">
        <v>124</v>
      </c>
      <c r="B15">
        <v>100</v>
      </c>
    </row>
    <row r="16" spans="1:4" x14ac:dyDescent="0.55000000000000004">
      <c r="A16" t="s">
        <v>125</v>
      </c>
      <c r="B16" t="s">
        <v>126</v>
      </c>
    </row>
    <row r="17" spans="1:2" x14ac:dyDescent="0.55000000000000004">
      <c r="A17" t="s">
        <v>127</v>
      </c>
      <c r="B17">
        <v>10</v>
      </c>
    </row>
    <row r="18" spans="1:2" x14ac:dyDescent="0.55000000000000004">
      <c r="A18" t="s">
        <v>130</v>
      </c>
      <c r="B18">
        <v>8</v>
      </c>
    </row>
    <row r="19" spans="1:2" x14ac:dyDescent="0.55000000000000004">
      <c r="A19" t="s">
        <v>129</v>
      </c>
      <c r="B19" t="s">
        <v>131</v>
      </c>
    </row>
    <row r="20" spans="1:2" x14ac:dyDescent="0.55000000000000004">
      <c r="A20" t="s">
        <v>128</v>
      </c>
      <c r="B20" t="s">
        <v>139</v>
      </c>
    </row>
    <row r="21" spans="1:2" x14ac:dyDescent="0.55000000000000004">
      <c r="A21" t="s">
        <v>133</v>
      </c>
      <c r="B21" t="s">
        <v>135</v>
      </c>
    </row>
    <row r="22" spans="1:2" x14ac:dyDescent="0.55000000000000004">
      <c r="A22" t="s">
        <v>136</v>
      </c>
      <c r="B22">
        <v>49</v>
      </c>
    </row>
    <row r="24" spans="1:2" x14ac:dyDescent="0.55000000000000004">
      <c r="A24" s="3" t="s">
        <v>140</v>
      </c>
    </row>
    <row r="25" spans="1:2" x14ac:dyDescent="0.55000000000000004">
      <c r="A25" t="s">
        <v>141</v>
      </c>
      <c r="B25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100k</vt:lpstr>
      <vt:lpstr>Final</vt:lpstr>
      <vt:lpstr>Presentation Material</vt:lpstr>
      <vt:lpstr>Sheet2</vt:lpstr>
      <vt:lpstr>Transformer Parameters 10 turns</vt:lpstr>
      <vt:lpstr>Transformer Parameters8 turns</vt:lpstr>
      <vt:lpstr>solidworks variables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cp:lastPrinted>2025-02-15T08:51:25Z</cp:lastPrinted>
  <dcterms:created xsi:type="dcterms:W3CDTF">2024-12-03T23:35:56Z</dcterms:created>
  <dcterms:modified xsi:type="dcterms:W3CDTF">2026-02-02T10:23:30Z</dcterms:modified>
</cp:coreProperties>
</file>