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rsacjp-my.sharepoint.com/personal/mc_90h_3794_s_thers_ac_jp/Documents/ABB - SANREX Corporation/PLECS Simulations/"/>
    </mc:Choice>
  </mc:AlternateContent>
  <xr:revisionPtr revIDLastSave="373" documentId="8_{5375FC9D-C6BF-494A-A391-2F8E4447626C}" xr6:coauthVersionLast="47" xr6:coauthVersionMax="47" xr10:uidLastSave="{47A7020C-C85E-4CB6-8309-65AEEC3A333A}"/>
  <bookViews>
    <workbookView xWindow="3510" yWindow="3510" windowWidth="21600" windowHeight="11055" xr2:uid="{7130CE55-054D-4E8D-9BD9-9C1EE3A6FBEB}"/>
  </bookViews>
  <sheets>
    <sheet name="Presentation Material" sheetId="6" r:id="rId1"/>
    <sheet name="Sheet2" sheetId="2" r:id="rId2"/>
    <sheet name="Transformer Parameters 10 turns" sheetId="4" r:id="rId3"/>
    <sheet name="Transformer Parameters8 turns" sheetId="8" r:id="rId4"/>
    <sheet name="solidworks variables list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6" l="1"/>
  <c r="Z30" i="6"/>
  <c r="Z24" i="6"/>
  <c r="Z23" i="6"/>
  <c r="Z22" i="6"/>
  <c r="Z21" i="6"/>
  <c r="Z20" i="6"/>
  <c r="Z19" i="6"/>
  <c r="Z18" i="6"/>
  <c r="Z17" i="6"/>
  <c r="Z16" i="6"/>
  <c r="K12" i="6"/>
  <c r="M11" i="6" s="1"/>
  <c r="J4" i="2"/>
  <c r="K4" i="2" s="1"/>
  <c r="J3" i="2"/>
  <c r="K3" i="2" s="1"/>
  <c r="J2" i="2"/>
  <c r="K2" i="2" s="1"/>
  <c r="U20" i="6"/>
  <c r="C16" i="2"/>
  <c r="D16" i="2" s="1"/>
  <c r="C15" i="2"/>
  <c r="D15" i="2" s="1"/>
  <c r="D14" i="2"/>
  <c r="C14" i="2"/>
  <c r="K19" i="6"/>
  <c r="K18" i="6"/>
  <c r="K17" i="6"/>
  <c r="K16" i="6"/>
  <c r="H2" i="4"/>
  <c r="H4" i="4"/>
  <c r="H5" i="4"/>
  <c r="D15" i="8"/>
  <c r="Q13" i="8"/>
  <c r="B40" i="8"/>
  <c r="C26" i="8"/>
  <c r="D26" i="8" s="1"/>
  <c r="J25" i="8"/>
  <c r="C25" i="8"/>
  <c r="D25" i="8" s="1"/>
  <c r="C22" i="8"/>
  <c r="C23" i="8" s="1"/>
  <c r="G21" i="8"/>
  <c r="D21" i="8"/>
  <c r="J27" i="8" s="1"/>
  <c r="C21" i="8"/>
  <c r="G20" i="8"/>
  <c r="B17" i="8"/>
  <c r="B16" i="8"/>
  <c r="L15" i="8"/>
  <c r="B15" i="8"/>
  <c r="F12" i="8"/>
  <c r="K6" i="8"/>
  <c r="C4" i="8"/>
  <c r="C5" i="8" s="1"/>
  <c r="G2" i="8" s="1"/>
  <c r="B16" i="4"/>
  <c r="B17" i="4"/>
  <c r="B15" i="4"/>
  <c r="D15" i="4"/>
  <c r="L15" i="4"/>
  <c r="E13" i="4"/>
  <c r="J21" i="4"/>
  <c r="K30" i="6"/>
  <c r="O21" i="6"/>
  <c r="B37" i="4"/>
  <c r="B40" i="4"/>
  <c r="F12" i="4"/>
  <c r="C12" i="4"/>
  <c r="C10" i="4"/>
  <c r="K6" i="4"/>
  <c r="K3" i="4"/>
  <c r="J27" i="4"/>
  <c r="J26" i="4"/>
  <c r="J25" i="4"/>
  <c r="J24" i="4"/>
  <c r="J20" i="4"/>
  <c r="J23" i="4"/>
  <c r="J22" i="4"/>
  <c r="G21" i="4"/>
  <c r="G20" i="4"/>
  <c r="D23" i="4"/>
  <c r="D24" i="4"/>
  <c r="D22" i="4"/>
  <c r="D25" i="4"/>
  <c r="D26" i="4"/>
  <c r="D21" i="4"/>
  <c r="C26" i="4"/>
  <c r="C25" i="4"/>
  <c r="C24" i="4"/>
  <c r="C23" i="4"/>
  <c r="C22" i="4"/>
  <c r="C21" i="4"/>
  <c r="C4" i="4"/>
  <c r="C5" i="4" s="1"/>
  <c r="B22" i="6"/>
  <c r="K24" i="6"/>
  <c r="K23" i="6"/>
  <c r="S16" i="6"/>
  <c r="K22" i="6"/>
  <c r="B16" i="6"/>
  <c r="S15" i="6"/>
  <c r="K21" i="6"/>
  <c r="B15" i="6"/>
  <c r="S14" i="6"/>
  <c r="K20" i="6"/>
  <c r="B14" i="6"/>
  <c r="H13" i="6"/>
  <c r="B13" i="6"/>
  <c r="W12" i="6"/>
  <c r="S12" i="6"/>
  <c r="U14" i="6" s="1"/>
  <c r="F12" i="6"/>
  <c r="D12" i="6"/>
  <c r="B4" i="6"/>
  <c r="B3" i="6"/>
  <c r="D4" i="6" s="1"/>
  <c r="F2" i="6"/>
  <c r="D2" i="6"/>
  <c r="E2" i="2"/>
  <c r="C3" i="2"/>
  <c r="D3" i="2" s="1"/>
  <c r="C2" i="2"/>
  <c r="D2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4" i="2"/>
  <c r="D4" i="2" s="1"/>
  <c r="D15" i="6" l="1"/>
  <c r="M17" i="6"/>
  <c r="M18" i="6"/>
  <c r="M19" i="6"/>
  <c r="D14" i="6"/>
  <c r="U16" i="6"/>
  <c r="M22" i="6"/>
  <c r="M16" i="6"/>
  <c r="K2" i="8"/>
  <c r="O4" i="8"/>
  <c r="G4" i="8"/>
  <c r="G3" i="8"/>
  <c r="G5" i="8" s="1"/>
  <c r="C24" i="8"/>
  <c r="D24" i="8" s="1"/>
  <c r="C12" i="8"/>
  <c r="D23" i="8"/>
  <c r="B37" i="8"/>
  <c r="J21" i="8"/>
  <c r="D22" i="8"/>
  <c r="J23" i="8"/>
  <c r="M23" i="6"/>
  <c r="M12" i="6"/>
  <c r="O13" i="6" s="1"/>
  <c r="P13" i="6" s="1"/>
  <c r="M24" i="6"/>
  <c r="M21" i="6"/>
  <c r="M20" i="6"/>
  <c r="G2" i="4"/>
  <c r="G4" i="4" s="1"/>
  <c r="U12" i="6"/>
  <c r="U15" i="6"/>
  <c r="D16" i="6"/>
  <c r="E4" i="2"/>
  <c r="E10" i="2"/>
  <c r="E9" i="2"/>
  <c r="E8" i="2"/>
  <c r="E7" i="2"/>
  <c r="E6" i="2"/>
  <c r="E5" i="2"/>
  <c r="M2" i="8" l="1"/>
  <c r="K3" i="8"/>
  <c r="J20" i="8"/>
  <c r="J26" i="8"/>
  <c r="J24" i="8"/>
  <c r="J22" i="8"/>
  <c r="E13" i="8"/>
  <c r="C10" i="8"/>
  <c r="K2" i="4"/>
  <c r="O4" i="4"/>
  <c r="G3" i="4"/>
  <c r="G5" i="4" s="1"/>
  <c r="M2" i="4" l="1"/>
  <c r="AB12" i="6" l="1"/>
  <c r="AB11" i="6"/>
  <c r="Z13" i="6"/>
  <c r="AB23" i="6" s="1"/>
  <c r="AB19" i="6" l="1"/>
  <c r="AB21" i="6"/>
  <c r="AB17" i="6"/>
  <c r="AB20" i="6"/>
  <c r="AB24" i="6"/>
  <c r="AB22" i="6"/>
  <c r="AB16" i="6"/>
  <c r="AB18" i="6"/>
</calcChain>
</file>

<file path=xl/sharedStrings.xml><?xml version="1.0" encoding="utf-8"?>
<sst xmlns="http://schemas.openxmlformats.org/spreadsheetml/2006/main" count="321" uniqueCount="142">
  <si>
    <t>Lr</t>
  </si>
  <si>
    <t>Cr</t>
  </si>
  <si>
    <t>Rac</t>
  </si>
  <si>
    <t>fr</t>
  </si>
  <si>
    <t>k</t>
  </si>
  <si>
    <t>Lm</t>
  </si>
  <si>
    <t>fn</t>
  </si>
  <si>
    <t>fs</t>
  </si>
  <si>
    <t>Q</t>
  </si>
  <si>
    <t>Po</t>
  </si>
  <si>
    <t>Vo</t>
  </si>
  <si>
    <t>Ro</t>
  </si>
  <si>
    <t>dt</t>
  </si>
  <si>
    <t>Coss</t>
  </si>
  <si>
    <t>Cw</t>
  </si>
  <si>
    <t>Lmax</t>
  </si>
  <si>
    <t>100 kW</t>
  </si>
  <si>
    <t>200 kW</t>
  </si>
  <si>
    <t>Q 100k</t>
  </si>
  <si>
    <t>Rac 100k</t>
  </si>
  <si>
    <t>Rac 200k</t>
  </si>
  <si>
    <t>Rac 300k</t>
  </si>
  <si>
    <t>Q 200k</t>
  </si>
  <si>
    <t>Q 300k</t>
  </si>
  <si>
    <t>new</t>
  </si>
  <si>
    <r>
      <t xml:space="preserve">Let's discuss using </t>
    </r>
    <r>
      <rPr>
        <b/>
        <sz val="11"/>
        <color theme="1"/>
        <rFont val="Aptos Narrow"/>
        <family val="2"/>
        <scheme val="minor"/>
      </rPr>
      <t>max power</t>
    </r>
  </si>
  <si>
    <t>Rac10k</t>
  </si>
  <si>
    <t>Rac50k</t>
  </si>
  <si>
    <t>Q10k</t>
  </si>
  <si>
    <t>Q50k</t>
  </si>
  <si>
    <t>Ip, rms</t>
  </si>
  <si>
    <t>Is, rms</t>
  </si>
  <si>
    <t>Io</t>
  </si>
  <si>
    <t>Area Product</t>
  </si>
  <si>
    <t>AwAc</t>
  </si>
  <si>
    <t>Ip, pk</t>
  </si>
  <si>
    <t>Is, pk</t>
  </si>
  <si>
    <t>phase difference</t>
  </si>
  <si>
    <t>Transformer Dimensions</t>
  </si>
  <si>
    <t>Wire Dimensions</t>
  </si>
  <si>
    <t>Wire Width</t>
  </si>
  <si>
    <t>Wire Height</t>
  </si>
  <si>
    <t>nCore</t>
  </si>
  <si>
    <t>Transformer Parameters</t>
  </si>
  <si>
    <t>number of turns</t>
  </si>
  <si>
    <t xml:space="preserve">magnetizing inductance </t>
  </si>
  <si>
    <t>n</t>
  </si>
  <si>
    <t>output power</t>
  </si>
  <si>
    <t>output voltage</t>
  </si>
  <si>
    <t>output current</t>
  </si>
  <si>
    <t>primary side current, rms</t>
  </si>
  <si>
    <t>primary side current, pk</t>
  </si>
  <si>
    <t>secondary side current, rms</t>
  </si>
  <si>
    <t>secondary side current, pk</t>
  </si>
  <si>
    <t>switching frequency</t>
  </si>
  <si>
    <t>number of cores</t>
  </si>
  <si>
    <t>L_c</t>
  </si>
  <si>
    <t>W_c</t>
  </si>
  <si>
    <t>A_c</t>
  </si>
  <si>
    <t>A_l</t>
  </si>
  <si>
    <t>L_l</t>
  </si>
  <si>
    <t>W_l</t>
  </si>
  <si>
    <t>Aw</t>
  </si>
  <si>
    <t>Ac</t>
  </si>
  <si>
    <t>length of center leg</t>
  </si>
  <si>
    <t>width of center leg</t>
  </si>
  <si>
    <t>area of center leg</t>
  </si>
  <si>
    <t>area of right and left leg</t>
  </si>
  <si>
    <t>length of right and left leg</t>
  </si>
  <si>
    <t>width of right and left leg</t>
  </si>
  <si>
    <t>actual chosen</t>
  </si>
  <si>
    <t>resonant frequency</t>
  </si>
  <si>
    <t>deadtime</t>
  </si>
  <si>
    <t>phi</t>
  </si>
  <si>
    <t>phase diff</t>
  </si>
  <si>
    <t>output resistance</t>
  </si>
  <si>
    <t>time difference</t>
  </si>
  <si>
    <t>Ipri, pk</t>
  </si>
  <si>
    <t>Ip, pk (estimate)</t>
  </si>
  <si>
    <t>max saturation flux density</t>
  </si>
  <si>
    <t>mm</t>
  </si>
  <si>
    <t>theoretical</t>
  </si>
  <si>
    <t>actual</t>
  </si>
  <si>
    <t>path modelling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</si>
  <si>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</si>
  <si>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</si>
  <si>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</si>
  <si>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</si>
  <si>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</si>
  <si>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</si>
  <si>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</si>
  <si>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</si>
  <si>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</si>
  <si>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</si>
  <si>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</si>
  <si>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</si>
  <si>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</si>
  <si>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</si>
  <si>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</si>
  <si>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r>
      <t xml:space="preserve">wire coating </t>
    </r>
    <r>
      <rPr>
        <sz val="11"/>
        <color theme="1"/>
        <rFont val="Aptos Narrow"/>
        <family val="2"/>
        <scheme val="minor"/>
      </rPr>
      <t>thickness</t>
    </r>
  </si>
  <si>
    <t>insulation thickness</t>
  </si>
  <si>
    <t>half cross section</t>
  </si>
  <si>
    <t>whole cross section</t>
  </si>
  <si>
    <t>air gap</t>
  </si>
  <si>
    <t>lmc</t>
  </si>
  <si>
    <t>lmo</t>
  </si>
  <si>
    <t xml:space="preserve">uo </t>
  </si>
  <si>
    <t>ur</t>
  </si>
  <si>
    <t>wireWidth</t>
  </si>
  <si>
    <t>wireHeight</t>
  </si>
  <si>
    <t>coatingThickness</t>
  </si>
  <si>
    <t>insulationThickness</t>
  </si>
  <si>
    <t>Wire Face</t>
  </si>
  <si>
    <t>wireDistance</t>
  </si>
  <si>
    <t>centerDistance</t>
  </si>
  <si>
    <t>Transformer Core (whole piece)</t>
  </si>
  <si>
    <t>Transformer Core (Gap Piece)</t>
  </si>
  <si>
    <t>2*(coatingThickness+insulationThickness)</t>
  </si>
  <si>
    <t>(wireHeight + coating Thickness * 2 + insulationThickness * 2) /2</t>
  </si>
  <si>
    <t>centerLegWidth</t>
  </si>
  <si>
    <t>outerLegWidth</t>
  </si>
  <si>
    <t>centerLegWidth/2</t>
  </si>
  <si>
    <t>wireToCore</t>
  </si>
  <si>
    <t>coreToCoreGapLength</t>
  </si>
  <si>
    <t>coreWindowWidth</t>
  </si>
  <si>
    <t>coreWindowHeight</t>
  </si>
  <si>
    <t>(wireWidth + coating Thickness * 2 + insulationThickness * 2) *2*nTurns</t>
  </si>
  <si>
    <t>nTurns</t>
  </si>
  <si>
    <t>coreWidth</t>
  </si>
  <si>
    <t>nGap</t>
  </si>
  <si>
    <t>centerLegWidth + 2*(coreWindowWidth + outerLegWidth)</t>
  </si>
  <si>
    <t>coreLength</t>
  </si>
  <si>
    <t>nCore - 1</t>
  </si>
  <si>
    <t>totalCoreLength</t>
  </si>
  <si>
    <t>(totalCoreLength - 5 * coreLength)/(nGap)</t>
  </si>
  <si>
    <t>Outer Core Templates</t>
  </si>
  <si>
    <t>outerCoreLength</t>
  </si>
  <si>
    <t>airGap</t>
  </si>
  <si>
    <t>Rac1k</t>
  </si>
  <si>
    <t>Rac5k</t>
  </si>
  <si>
    <t>Rac100</t>
  </si>
  <si>
    <t>Rac500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</si>
</sst>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B931-3CEB-46C6-929F-DBA10F61E738}">
  <dimension ref="A1:AB30"/>
  <sheetViews>
    <sheetView tabSelected="1" topLeftCell="A10" zoomScale="96" zoomScaleNormal="104" workbookViewId="0">
      <selection activeCell="M26" sqref="M26"/>
    </sheetView>
  </sheetViews>
  <sheetFormatPr defaultRowHeight="15" x14ac:dyDescent="0.25"/>
  <sheetData>
    <row r="1" spans="1:28" x14ac:dyDescent="0.25">
      <c r="A1" t="s">
        <v>16</v>
      </c>
    </row>
    <row r="2" spans="1:28" x14ac:dyDescent="0.25">
      <c r="A2" t="s">
        <v>0</v>
      </c>
      <c r="B2" s="1">
        <v>2.0000000000000002E-5</v>
      </c>
      <c r="C2" t="s">
        <v>5</v>
      </c>
      <c r="D2" s="1">
        <f>B2*D3</f>
        <v>6.0000000000000006E-4</v>
      </c>
      <c r="E2" t="s">
        <v>15</v>
      </c>
      <c r="F2" s="1">
        <f>D5*(1/B8/2-D5)/(4*(D6+D7+D7))</f>
        <v>9.148148148148147E-4</v>
      </c>
    </row>
    <row r="3" spans="1:28" x14ac:dyDescent="0.25">
      <c r="A3" t="s">
        <v>1</v>
      </c>
      <c r="B3" s="1">
        <f>1/((2*PI()*B8)^2*B2)</f>
        <v>1.4072386616991357E-6</v>
      </c>
      <c r="C3" t="s">
        <v>4</v>
      </c>
      <c r="D3">
        <v>30</v>
      </c>
    </row>
    <row r="4" spans="1:28" x14ac:dyDescent="0.25">
      <c r="A4" t="s">
        <v>2</v>
      </c>
      <c r="B4" s="1">
        <f>Sheet2!$D$4</f>
        <v>8.105694691387022</v>
      </c>
      <c r="C4" t="s">
        <v>8</v>
      </c>
      <c r="D4" s="1">
        <f>SQRT(B2/B3)/B4</f>
        <v>0.46509415020449729</v>
      </c>
    </row>
    <row r="5" spans="1:28" x14ac:dyDescent="0.25">
      <c r="C5" s="3" t="s">
        <v>12</v>
      </c>
      <c r="D5" s="1">
        <v>1.9999999999999999E-7</v>
      </c>
    </row>
    <row r="6" spans="1:28" x14ac:dyDescent="0.25">
      <c r="A6" t="s">
        <v>6</v>
      </c>
      <c r="C6" t="s">
        <v>13</v>
      </c>
      <c r="D6" s="1">
        <v>3E-10</v>
      </c>
    </row>
    <row r="7" spans="1:28" x14ac:dyDescent="0.25">
      <c r="A7" t="s">
        <v>7</v>
      </c>
      <c r="C7" t="s">
        <v>14</v>
      </c>
      <c r="D7" s="1">
        <v>3E-10</v>
      </c>
    </row>
    <row r="8" spans="1:28" x14ac:dyDescent="0.25">
      <c r="A8" t="s">
        <v>3</v>
      </c>
      <c r="B8" s="1">
        <v>30000</v>
      </c>
    </row>
    <row r="10" spans="1:28" x14ac:dyDescent="0.25">
      <c r="B10" s="1"/>
      <c r="D10" s="1"/>
      <c r="E10" s="1"/>
      <c r="G10" s="1"/>
      <c r="R10" t="s">
        <v>24</v>
      </c>
    </row>
    <row r="11" spans="1:28" x14ac:dyDescent="0.25">
      <c r="A11" t="s">
        <v>17</v>
      </c>
      <c r="G11" s="1"/>
      <c r="J11" t="s">
        <v>17</v>
      </c>
      <c r="M11" s="1">
        <f>0.015/K12</f>
        <v>666.19829707353165</v>
      </c>
      <c r="R11" t="s">
        <v>17</v>
      </c>
      <c r="Y11" t="s">
        <v>17</v>
      </c>
      <c r="AB11" s="1">
        <f>0.015/Z12</f>
        <v>749.99999999999989</v>
      </c>
    </row>
    <row r="12" spans="1:28" x14ac:dyDescent="0.25">
      <c r="A12" t="s">
        <v>0</v>
      </c>
      <c r="B12" s="1">
        <v>1.0000000000000001E-5</v>
      </c>
      <c r="C12" t="s">
        <v>5</v>
      </c>
      <c r="D12" s="1">
        <f>B12*D13</f>
        <v>3.0000000000000003E-4</v>
      </c>
      <c r="E12" t="s">
        <v>15</v>
      </c>
      <c r="F12" s="1">
        <f>D18*(1/B20/2-D18)/(4*(D19+D20+D20))</f>
        <v>3.0169753086419756E-3</v>
      </c>
      <c r="J12" t="s">
        <v>0</v>
      </c>
      <c r="K12" s="1">
        <f>1/((2*PI()*K29)^2*K13)</f>
        <v>2.2515818587186171E-5</v>
      </c>
      <c r="L12" t="s">
        <v>5</v>
      </c>
      <c r="M12" s="1">
        <f>K12*M13</f>
        <v>1.5761073011030319E-4</v>
      </c>
      <c r="N12" t="s">
        <v>15</v>
      </c>
      <c r="O12" s="1">
        <f>M26/(4*M27*4*K29)</f>
        <v>1.1029411764705883E-2</v>
      </c>
      <c r="R12" t="s">
        <v>0</v>
      </c>
      <c r="S12" s="1">
        <f>1/((2*PI()*B21)^2*S13)</f>
        <v>5.0035152415969275E-5</v>
      </c>
      <c r="T12" t="s">
        <v>5</v>
      </c>
      <c r="U12" s="1">
        <f>S12*U13</f>
        <v>2.5017576207984637E-3</v>
      </c>
      <c r="V12" t="s">
        <v>15</v>
      </c>
      <c r="W12" s="1" t="e">
        <f>U18*(1/S20/2-U18)/(4*(U19+U20+U20))</f>
        <v>#DIV/0!</v>
      </c>
      <c r="Y12" t="s">
        <v>0</v>
      </c>
      <c r="Z12" s="1">
        <v>2.0000000000000002E-5</v>
      </c>
      <c r="AA12" t="s">
        <v>5</v>
      </c>
      <c r="AB12" s="1">
        <f>Z12*AB13</f>
        <v>1.4000000000000001E-4</v>
      </c>
    </row>
    <row r="13" spans="1:28" x14ac:dyDescent="0.25">
      <c r="A13" t="s">
        <v>1</v>
      </c>
      <c r="B13" s="1">
        <f>1/((2*PI()*B21)^2*B12)</f>
        <v>5.0035152415969263E-6</v>
      </c>
      <c r="C13" t="s">
        <v>4</v>
      </c>
      <c r="D13">
        <v>30</v>
      </c>
      <c r="H13" t="e">
        <f>1/((2*PI()*K29)^2*K11)</f>
        <v>#DIV/0!</v>
      </c>
      <c r="J13" t="s">
        <v>1</v>
      </c>
      <c r="K13" s="1">
        <v>1.2500000000000001E-6</v>
      </c>
      <c r="L13" t="s">
        <v>4</v>
      </c>
      <c r="M13">
        <v>7</v>
      </c>
      <c r="N13" t="s">
        <v>30</v>
      </c>
      <c r="O13" s="1">
        <f>(1000^2/8*(((1/K28)/(2*M12))^2+(PI()/Sheet2!C2)^2))^0.5</f>
        <v>335.70301195000917</v>
      </c>
      <c r="P13" s="1">
        <f>O13*SQRT(2)</f>
        <v>474.75575242920019</v>
      </c>
      <c r="R13" t="s">
        <v>1</v>
      </c>
      <c r="S13" s="1">
        <v>9.9999999999999995E-7</v>
      </c>
      <c r="T13" t="s">
        <v>4</v>
      </c>
      <c r="U13">
        <v>50</v>
      </c>
      <c r="Y13" t="s">
        <v>1</v>
      </c>
      <c r="Z13" s="1">
        <f>1/((2*PI()*Z29)^2*Z12)</f>
        <v>1.4072386616991357E-6</v>
      </c>
      <c r="AA13" t="s">
        <v>4</v>
      </c>
      <c r="AB13">
        <v>7</v>
      </c>
    </row>
    <row r="14" spans="1:28" x14ac:dyDescent="0.25">
      <c r="A14" t="s">
        <v>19</v>
      </c>
      <c r="B14" s="1">
        <f>Sheet2!$D4</f>
        <v>8.105694691387022</v>
      </c>
      <c r="C14" t="s">
        <v>18</v>
      </c>
      <c r="D14" s="1">
        <f>SQRT($B$12/$B$13)/$B14</f>
        <v>0.1744103063266865</v>
      </c>
      <c r="N14" t="s">
        <v>31</v>
      </c>
      <c r="R14" t="s">
        <v>19</v>
      </c>
      <c r="S14" s="1">
        <f>Sheet2!$D4</f>
        <v>8.105694691387022</v>
      </c>
      <c r="T14" t="s">
        <v>18</v>
      </c>
      <c r="U14" s="1">
        <f>SQRT($S$12/$S$13)/$S14</f>
        <v>0.87266462599716477</v>
      </c>
    </row>
    <row r="15" spans="1:28" x14ac:dyDescent="0.25">
      <c r="A15" t="s">
        <v>20</v>
      </c>
      <c r="B15" s="1">
        <f>Sheet2!$D3</f>
        <v>4.052847345693511</v>
      </c>
      <c r="C15" t="s">
        <v>22</v>
      </c>
      <c r="D15" s="1">
        <f t="shared" ref="D15:D16" si="0">SQRT($B$12/$B$13)/$B15</f>
        <v>0.348820612653373</v>
      </c>
      <c r="R15" t="s">
        <v>20</v>
      </c>
      <c r="S15" s="1">
        <f>Sheet2!$D3</f>
        <v>4.052847345693511</v>
      </c>
      <c r="T15" t="s">
        <v>22</v>
      </c>
      <c r="U15" s="1">
        <f t="shared" ref="U15:U16" si="1">SQRT($S$12/$S$13)/$S15</f>
        <v>1.7453292519943295</v>
      </c>
    </row>
    <row r="16" spans="1:28" x14ac:dyDescent="0.25">
      <c r="A16" t="s">
        <v>21</v>
      </c>
      <c r="B16" s="1">
        <f>Sheet2!$D2</f>
        <v>2.7018982304623407</v>
      </c>
      <c r="C16" t="s">
        <v>23</v>
      </c>
      <c r="D16" s="1">
        <f t="shared" si="0"/>
        <v>0.52323091898005947</v>
      </c>
      <c r="J16" t="s">
        <v>140</v>
      </c>
      <c r="K16">
        <f>Sheet2!D10</f>
        <v>8105.6946913870224</v>
      </c>
      <c r="M16" s="1">
        <f>SQRT(K$12/K$13)/$K16</f>
        <v>5.2359877559829881E-4</v>
      </c>
      <c r="R16" t="s">
        <v>21</v>
      </c>
      <c r="S16" s="1">
        <f>Sheet2!$D2</f>
        <v>2.7018982304623407</v>
      </c>
      <c r="T16" t="s">
        <v>23</v>
      </c>
      <c r="U16" s="1">
        <f t="shared" si="1"/>
        <v>2.6179938779914944</v>
      </c>
      <c r="Y16" t="s">
        <v>140</v>
      </c>
      <c r="Z16">
        <f>Sheet2!S10</f>
        <v>0</v>
      </c>
      <c r="AB16" s="1">
        <f>SQRT(Z$12/Z$13)/$K16</f>
        <v>4.6509415020449727E-4</v>
      </c>
    </row>
    <row r="17" spans="1:28" x14ac:dyDescent="0.25">
      <c r="J17" t="s">
        <v>141</v>
      </c>
      <c r="K17">
        <f>Sheet2!D9</f>
        <v>1621.1389382774043</v>
      </c>
      <c r="M17" s="1">
        <f>SQRT(K$12/K$13)/$K17</f>
        <v>2.6179938779914941E-3</v>
      </c>
      <c r="Y17" t="s">
        <v>141</v>
      </c>
      <c r="Z17">
        <f>Sheet2!S9</f>
        <v>0</v>
      </c>
      <c r="AB17" s="1">
        <f>SQRT(Z$12/Z$13)/$K17</f>
        <v>2.3254707510224864E-3</v>
      </c>
    </row>
    <row r="18" spans="1:28" x14ac:dyDescent="0.25">
      <c r="C18" s="3" t="s">
        <v>12</v>
      </c>
      <c r="D18" s="1">
        <v>4.9999999999999998E-7</v>
      </c>
      <c r="J18" t="s">
        <v>138</v>
      </c>
      <c r="K18">
        <f>Sheet2!D8</f>
        <v>810.56946913870217</v>
      </c>
      <c r="M18" s="1">
        <f t="shared" ref="M18:M19" si="2">SQRT(K$12/K$13)/$K18</f>
        <v>5.2359877559829881E-3</v>
      </c>
      <c r="Y18" t="s">
        <v>138</v>
      </c>
      <c r="Z18">
        <f>Sheet2!S8</f>
        <v>0</v>
      </c>
      <c r="AB18" s="1">
        <f t="shared" ref="AB18:AB19" si="3">SQRT(Z$12/Z$13)/$K18</f>
        <v>4.6509415020449729E-3</v>
      </c>
    </row>
    <row r="19" spans="1:28" x14ac:dyDescent="0.25">
      <c r="A19" t="s">
        <v>6</v>
      </c>
      <c r="C19" t="s">
        <v>13</v>
      </c>
      <c r="D19" s="1">
        <v>3E-10</v>
      </c>
      <c r="J19" t="s">
        <v>139</v>
      </c>
      <c r="K19">
        <f>Sheet2!D7</f>
        <v>162.11389382774044</v>
      </c>
      <c r="M19" s="1">
        <f t="shared" si="2"/>
        <v>2.6179938779914941E-2</v>
      </c>
      <c r="Y19" t="s">
        <v>139</v>
      </c>
      <c r="Z19">
        <f>Sheet2!S7</f>
        <v>0</v>
      </c>
      <c r="AB19" s="1">
        <f t="shared" si="3"/>
        <v>2.3254707510224862E-2</v>
      </c>
    </row>
    <row r="20" spans="1:28" x14ac:dyDescent="0.25">
      <c r="A20" t="s">
        <v>7</v>
      </c>
      <c r="B20" s="1">
        <v>22500</v>
      </c>
      <c r="C20" t="s">
        <v>14</v>
      </c>
      <c r="D20" s="1">
        <v>3E-10</v>
      </c>
      <c r="J20" t="s">
        <v>26</v>
      </c>
      <c r="K20">
        <f>Sheet2!D6</f>
        <v>81.05694691387022</v>
      </c>
      <c r="L20" t="s">
        <v>28</v>
      </c>
      <c r="M20" s="1">
        <f>SQRT(K$12/K$13)/$K20</f>
        <v>5.2359877559829883E-2</v>
      </c>
      <c r="U20">
        <f>200/22.5</f>
        <v>8.8888888888888893</v>
      </c>
      <c r="Y20" t="s">
        <v>26</v>
      </c>
      <c r="Z20">
        <f>Sheet2!S6</f>
        <v>0</v>
      </c>
      <c r="AA20" t="s">
        <v>28</v>
      </c>
      <c r="AB20" s="1">
        <f>SQRT(Z$12/Z$13)/$K20</f>
        <v>4.6509415020449724E-2</v>
      </c>
    </row>
    <row r="21" spans="1:28" x14ac:dyDescent="0.25">
      <c r="A21" t="s">
        <v>3</v>
      </c>
      <c r="B21" s="1">
        <v>22500</v>
      </c>
      <c r="J21" t="s">
        <v>27</v>
      </c>
      <c r="K21">
        <f>Sheet2!D5</f>
        <v>16.211389382774044</v>
      </c>
      <c r="L21" t="s">
        <v>29</v>
      </c>
      <c r="M21" s="1">
        <f>SQRT(K$12/K$13)/$K21</f>
        <v>0.26179938779914941</v>
      </c>
      <c r="O21">
        <f>150/68.5</f>
        <v>2.1897810218978102</v>
      </c>
      <c r="Y21" t="s">
        <v>27</v>
      </c>
      <c r="Z21">
        <f>Sheet2!S5</f>
        <v>0</v>
      </c>
      <c r="AA21" t="s">
        <v>29</v>
      </c>
      <c r="AB21" s="1">
        <f>SQRT(Z$12/Z$13)/$K21</f>
        <v>0.23254707510224865</v>
      </c>
    </row>
    <row r="22" spans="1:28" x14ac:dyDescent="0.25">
      <c r="A22" t="s">
        <v>6</v>
      </c>
      <c r="B22" s="1">
        <f>B20/B21</f>
        <v>1</v>
      </c>
      <c r="J22" t="s">
        <v>19</v>
      </c>
      <c r="K22" s="1">
        <f>Sheet2!$D4</f>
        <v>8.105694691387022</v>
      </c>
      <c r="L22" t="s">
        <v>18</v>
      </c>
      <c r="M22" s="1">
        <f>SQRT(K$12/K$13)/$B14</f>
        <v>0.52359877559829882</v>
      </c>
      <c r="Y22" t="s">
        <v>19</v>
      </c>
      <c r="Z22" s="1">
        <f>Sheet2!$D4</f>
        <v>8.105694691387022</v>
      </c>
      <c r="AA22" t="s">
        <v>18</v>
      </c>
      <c r="AB22" s="1">
        <f>SQRT(Z$12/Z$13)/$B14</f>
        <v>0.46509415020449729</v>
      </c>
    </row>
    <row r="23" spans="1:28" x14ac:dyDescent="0.25">
      <c r="J23" t="s">
        <v>20</v>
      </c>
      <c r="K23" s="1">
        <f>Sheet2!$D3</f>
        <v>4.052847345693511</v>
      </c>
      <c r="L23" t="s">
        <v>22</v>
      </c>
      <c r="M23" s="1">
        <f>SQRT(K$12/K$13)/$B15</f>
        <v>1.0471975511965976</v>
      </c>
      <c r="Y23" t="s">
        <v>20</v>
      </c>
      <c r="Z23" s="1">
        <f>Sheet2!$D3</f>
        <v>4.052847345693511</v>
      </c>
      <c r="AA23" t="s">
        <v>22</v>
      </c>
      <c r="AB23" s="1">
        <f>SQRT(Z$12/Z$13)/$B15</f>
        <v>0.93018830040899458</v>
      </c>
    </row>
    <row r="24" spans="1:28" x14ac:dyDescent="0.25">
      <c r="J24" t="s">
        <v>21</v>
      </c>
      <c r="K24" s="1">
        <f>Sheet2!$D2</f>
        <v>2.7018982304623407</v>
      </c>
      <c r="L24" t="s">
        <v>23</v>
      </c>
      <c r="M24" s="1">
        <f>SQRT(K$12/K$13)/$B16</f>
        <v>1.5707963267948966</v>
      </c>
      <c r="Y24" t="s">
        <v>21</v>
      </c>
      <c r="Z24" s="1">
        <f>Sheet2!$D2</f>
        <v>2.7018982304623407</v>
      </c>
      <c r="AA24" t="s">
        <v>23</v>
      </c>
      <c r="AB24" s="1">
        <f>SQRT(Z$12/Z$13)/$B16</f>
        <v>1.3952824506134918</v>
      </c>
    </row>
    <row r="26" spans="1:28" x14ac:dyDescent="0.25">
      <c r="L26" s="3" t="s">
        <v>12</v>
      </c>
      <c r="M26" s="1">
        <v>3.5999999999999999E-7</v>
      </c>
      <c r="AA26" s="3" t="s">
        <v>12</v>
      </c>
      <c r="AB26" s="1">
        <v>1.9999999999999999E-7</v>
      </c>
    </row>
    <row r="27" spans="1:28" x14ac:dyDescent="0.25">
      <c r="J27" t="s">
        <v>6</v>
      </c>
      <c r="L27" t="s">
        <v>13</v>
      </c>
      <c r="M27" s="1">
        <v>6.7999999999999998E-11</v>
      </c>
      <c r="Y27" t="s">
        <v>6</v>
      </c>
      <c r="AA27" t="s">
        <v>13</v>
      </c>
      <c r="AB27" s="1">
        <v>3E-10</v>
      </c>
    </row>
    <row r="28" spans="1:28" x14ac:dyDescent="0.25">
      <c r="J28" t="s">
        <v>7</v>
      </c>
      <c r="K28" s="1">
        <v>27500</v>
      </c>
      <c r="L28" t="s">
        <v>14</v>
      </c>
      <c r="M28" s="1">
        <v>3E-10</v>
      </c>
      <c r="Y28" t="s">
        <v>7</v>
      </c>
      <c r="Z28" s="1">
        <v>27500</v>
      </c>
      <c r="AA28" t="s">
        <v>14</v>
      </c>
      <c r="AB28" s="1">
        <v>3E-10</v>
      </c>
    </row>
    <row r="29" spans="1:28" x14ac:dyDescent="0.25">
      <c r="J29" t="s">
        <v>3</v>
      </c>
      <c r="K29" s="1">
        <v>30000</v>
      </c>
      <c r="Y29" t="s">
        <v>3</v>
      </c>
      <c r="Z29" s="1">
        <v>30000</v>
      </c>
    </row>
    <row r="30" spans="1:28" x14ac:dyDescent="0.25">
      <c r="J30" t="s">
        <v>6</v>
      </c>
      <c r="K30" s="1">
        <f>K28/K29</f>
        <v>0.91666666666666663</v>
      </c>
      <c r="Y30" t="s">
        <v>6</v>
      </c>
      <c r="Z30" s="1">
        <f>Z28/Z29</f>
        <v>0.91666666666666663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8C1A-B4A4-4C3D-83F7-4C3D2F4523A9}">
  <dimension ref="A1:K16"/>
  <sheetViews>
    <sheetView workbookViewId="0">
      <selection activeCell="I5" sqref="I5"/>
    </sheetView>
  </sheetViews>
  <sheetFormatPr defaultRowHeight="15" x14ac:dyDescent="0.25"/>
  <cols>
    <col min="5" max="5" width="15.28515625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2</v>
      </c>
      <c r="E1" t="s">
        <v>8</v>
      </c>
      <c r="H1" t="s">
        <v>9</v>
      </c>
      <c r="I1" t="s">
        <v>10</v>
      </c>
      <c r="J1" t="s">
        <v>11</v>
      </c>
      <c r="K1" t="s">
        <v>2</v>
      </c>
    </row>
    <row r="2" spans="1:11" x14ac:dyDescent="0.25">
      <c r="A2">
        <v>300000</v>
      </c>
      <c r="B2">
        <v>1000</v>
      </c>
      <c r="C2">
        <f>B2^2/A2</f>
        <v>3.3333333333333335</v>
      </c>
      <c r="D2">
        <f>8/(PI())^2*C2</f>
        <v>2.7018982304623407</v>
      </c>
      <c r="E2" s="2" t="e">
        <f>SQRT(#REF!/#REF!)/Sheet2!D2</f>
        <v>#REF!</v>
      </c>
      <c r="H2">
        <v>1000</v>
      </c>
      <c r="I2">
        <v>100</v>
      </c>
      <c r="J2">
        <f>I2^2/H2</f>
        <v>10</v>
      </c>
      <c r="K2">
        <f>8/PI()^2*J2</f>
        <v>8.105694691387022</v>
      </c>
    </row>
    <row r="3" spans="1:11" x14ac:dyDescent="0.25">
      <c r="A3" s="1">
        <v>200000</v>
      </c>
      <c r="B3">
        <v>1000</v>
      </c>
      <c r="C3">
        <f>B3^2/A3</f>
        <v>5</v>
      </c>
      <c r="D3">
        <f>8/(PI())^2*C3</f>
        <v>4.052847345693511</v>
      </c>
      <c r="E3" s="2"/>
      <c r="H3" s="1">
        <v>500</v>
      </c>
      <c r="I3">
        <v>100</v>
      </c>
      <c r="J3">
        <f>I3^2/H3</f>
        <v>20</v>
      </c>
      <c r="K3">
        <f>8/PI()^2*J3</f>
        <v>16.211389382774044</v>
      </c>
    </row>
    <row r="4" spans="1:11" x14ac:dyDescent="0.25">
      <c r="A4">
        <v>100000</v>
      </c>
      <c r="B4">
        <v>1000</v>
      </c>
      <c r="C4">
        <f>B4^2/A4</f>
        <v>10</v>
      </c>
      <c r="D4">
        <f>8/(PI())^2*C4</f>
        <v>8.105694691387022</v>
      </c>
      <c r="E4" s="2" t="e">
        <f>SQRT(#REF!/#REF!)/Sheet2!D4</f>
        <v>#REF!</v>
      </c>
      <c r="H4">
        <v>100</v>
      </c>
      <c r="I4">
        <v>100</v>
      </c>
      <c r="J4">
        <f>I4^2/H4</f>
        <v>100</v>
      </c>
      <c r="K4">
        <f>8/PI()^2*J4</f>
        <v>81.05694691387022</v>
      </c>
    </row>
    <row r="5" spans="1:11" x14ac:dyDescent="0.25">
      <c r="A5" s="1">
        <v>50000</v>
      </c>
      <c r="B5">
        <v>1000</v>
      </c>
      <c r="C5">
        <f t="shared" ref="C5:C10" si="0">B5^2/A5</f>
        <v>20</v>
      </c>
      <c r="D5">
        <f t="shared" ref="D5:D10" si="1">8/PI()^2*C5</f>
        <v>16.211389382774044</v>
      </c>
      <c r="E5" s="2" t="e">
        <f>SQRT(#REF!/#REF!)/Sheet2!D5</f>
        <v>#REF!</v>
      </c>
      <c r="H5" s="1"/>
    </row>
    <row r="6" spans="1:11" x14ac:dyDescent="0.25">
      <c r="A6">
        <v>10000</v>
      </c>
      <c r="B6">
        <v>1000</v>
      </c>
      <c r="C6">
        <f t="shared" si="0"/>
        <v>100</v>
      </c>
      <c r="D6">
        <f t="shared" si="1"/>
        <v>81.05694691387022</v>
      </c>
      <c r="E6" s="2" t="e">
        <f>SQRT(#REF!/#REF!)/Sheet2!D6</f>
        <v>#REF!</v>
      </c>
    </row>
    <row r="7" spans="1:11" x14ac:dyDescent="0.25">
      <c r="A7" s="1">
        <v>5000</v>
      </c>
      <c r="B7">
        <v>1000</v>
      </c>
      <c r="C7">
        <f t="shared" si="0"/>
        <v>200</v>
      </c>
      <c r="D7">
        <f t="shared" si="1"/>
        <v>162.11389382774044</v>
      </c>
      <c r="E7" s="2" t="e">
        <f>SQRT(#REF!/#REF!)/Sheet2!D7</f>
        <v>#REF!</v>
      </c>
      <c r="H7" s="1"/>
    </row>
    <row r="8" spans="1:11" x14ac:dyDescent="0.25">
      <c r="A8">
        <v>1000</v>
      </c>
      <c r="B8">
        <v>1000</v>
      </c>
      <c r="C8">
        <f t="shared" si="0"/>
        <v>1000</v>
      </c>
      <c r="D8">
        <f t="shared" si="1"/>
        <v>810.56946913870217</v>
      </c>
      <c r="E8" s="2" t="e">
        <f>SQRT(#REF!/#REF!)/Sheet2!D8</f>
        <v>#REF!</v>
      </c>
    </row>
    <row r="9" spans="1:11" x14ac:dyDescent="0.25">
      <c r="A9" s="1">
        <v>500</v>
      </c>
      <c r="B9">
        <v>1000</v>
      </c>
      <c r="C9">
        <f t="shared" si="0"/>
        <v>2000</v>
      </c>
      <c r="D9">
        <f t="shared" si="1"/>
        <v>1621.1389382774043</v>
      </c>
      <c r="E9" s="2" t="e">
        <f>SQRT(#REF!/#REF!)/Sheet2!D9</f>
        <v>#REF!</v>
      </c>
    </row>
    <row r="10" spans="1:11" x14ac:dyDescent="0.25">
      <c r="A10">
        <v>100</v>
      </c>
      <c r="B10">
        <v>1000</v>
      </c>
      <c r="C10">
        <f t="shared" si="0"/>
        <v>10000</v>
      </c>
      <c r="D10">
        <f t="shared" si="1"/>
        <v>8105.6946913870224</v>
      </c>
      <c r="E10" s="2" t="e">
        <f>SQRT(#REF!/#REF!)/Sheet2!D10</f>
        <v>#REF!</v>
      </c>
    </row>
    <row r="13" spans="1:11" x14ac:dyDescent="0.25">
      <c r="A13" t="s">
        <v>9</v>
      </c>
      <c r="B13" t="s">
        <v>10</v>
      </c>
      <c r="C13" t="s">
        <v>11</v>
      </c>
      <c r="D13" t="s">
        <v>2</v>
      </c>
    </row>
    <row r="14" spans="1:11" x14ac:dyDescent="0.25">
      <c r="A14">
        <v>1000</v>
      </c>
      <c r="B14">
        <v>1000</v>
      </c>
      <c r="C14">
        <f t="shared" ref="C14:C16" si="2">B14^2/A14</f>
        <v>1000</v>
      </c>
      <c r="D14">
        <f t="shared" ref="D14:D16" si="3">8/PI()^2*C14</f>
        <v>810.56946913870217</v>
      </c>
    </row>
    <row r="15" spans="1:11" x14ac:dyDescent="0.25">
      <c r="A15" s="1">
        <v>500</v>
      </c>
      <c r="B15">
        <v>1000</v>
      </c>
      <c r="C15">
        <f t="shared" si="2"/>
        <v>2000</v>
      </c>
      <c r="D15">
        <f t="shared" si="3"/>
        <v>1621.1389382774043</v>
      </c>
    </row>
    <row r="16" spans="1:11" x14ac:dyDescent="0.25">
      <c r="A16">
        <v>100</v>
      </c>
      <c r="B16">
        <v>1000</v>
      </c>
      <c r="C16">
        <f t="shared" si="2"/>
        <v>10000</v>
      </c>
      <c r="D16">
        <f t="shared" si="3"/>
        <v>8105.6946913870224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CB73-DC55-42F9-9234-81E6B53BEFD6}">
  <dimension ref="A1:O41"/>
  <sheetViews>
    <sheetView zoomScale="96" zoomScaleNormal="130" workbookViewId="0">
      <selection activeCell="C6" sqref="C6"/>
    </sheetView>
  </sheetViews>
  <sheetFormatPr defaultRowHeight="15" x14ac:dyDescent="0.25"/>
  <cols>
    <col min="1" max="1" width="25.5703125" bestFit="1" customWidth="1"/>
    <col min="2" max="2" width="21.140625" bestFit="1" customWidth="1"/>
    <col min="4" max="4" width="22.42578125" bestFit="1" customWidth="1"/>
    <col min="6" max="6" width="23.42578125" bestFit="1" customWidth="1"/>
  </cols>
  <sheetData>
    <row r="1" spans="1:15" x14ac:dyDescent="0.25">
      <c r="A1" t="s">
        <v>25</v>
      </c>
    </row>
    <row r="2" spans="1:15" x14ac:dyDescent="0.25">
      <c r="A2" t="s">
        <v>9</v>
      </c>
      <c r="B2" t="s">
        <v>47</v>
      </c>
      <c r="C2">
        <v>300000</v>
      </c>
      <c r="E2" t="s">
        <v>30</v>
      </c>
      <c r="F2" t="s">
        <v>50</v>
      </c>
      <c r="G2">
        <f>SQRT((C3^2/8)*(((1/C6)/(2*C11))^2+(PI()/C5)^2))</f>
        <v>335.86394784550583</v>
      </c>
      <c r="H2">
        <f>SQRT(2)/2*(PI())*300000/1000+1000/(4*150*10^-6*30000)</f>
        <v>721.98799627931044</v>
      </c>
      <c r="I2" s="3" t="s">
        <v>37</v>
      </c>
      <c r="K2">
        <f>ASIN((C3*1/C6)/(4*SQRT(2)*C11*G2))</f>
        <v>0.12564802482418441</v>
      </c>
      <c r="M2">
        <f>K2*180/PI()</f>
        <v>7.1991015265807645</v>
      </c>
    </row>
    <row r="3" spans="1:15" x14ac:dyDescent="0.25">
      <c r="A3" t="s">
        <v>10</v>
      </c>
      <c r="B3" t="s">
        <v>48</v>
      </c>
      <c r="C3">
        <v>1000</v>
      </c>
      <c r="E3" t="s">
        <v>31</v>
      </c>
      <c r="F3" t="s">
        <v>52</v>
      </c>
      <c r="G3" s="1">
        <f>G2</f>
        <v>335.86394784550583</v>
      </c>
      <c r="I3" t="s">
        <v>76</v>
      </c>
      <c r="K3" s="1">
        <f>K2/(2*PI()*C6)</f>
        <v>7.1419658001793302E-7</v>
      </c>
    </row>
    <row r="4" spans="1:15" x14ac:dyDescent="0.25">
      <c r="A4" t="s">
        <v>32</v>
      </c>
      <c r="B4" t="s">
        <v>49</v>
      </c>
      <c r="C4">
        <f>C2/C3</f>
        <v>300</v>
      </c>
      <c r="E4" t="s">
        <v>35</v>
      </c>
      <c r="F4" t="s">
        <v>51</v>
      </c>
      <c r="G4">
        <f>G2*SQRT(2)</f>
        <v>474.98335015528426</v>
      </c>
      <c r="H4">
        <f>SQRT(2)/2*(PI())*300000/1000+1000/(4*150*10^-6*27000)</f>
        <v>728.1608357854833</v>
      </c>
      <c r="O4">
        <f>ASIN((C3*1/C6)/(4*SQRT(2)*C11*G2))</f>
        <v>0.12564802482418441</v>
      </c>
    </row>
    <row r="5" spans="1:15" x14ac:dyDescent="0.25">
      <c r="A5" t="s">
        <v>11</v>
      </c>
      <c r="B5" t="s">
        <v>75</v>
      </c>
      <c r="C5">
        <f>C3/C4</f>
        <v>3.3333333333333335</v>
      </c>
      <c r="E5" t="s">
        <v>36</v>
      </c>
      <c r="F5" t="s">
        <v>53</v>
      </c>
      <c r="G5" s="1">
        <f>G3*SQRT(2)</f>
        <v>474.98335015528426</v>
      </c>
      <c r="H5">
        <f>SQRT(2)/2*(PI())*300000/1000</f>
        <v>666.43244072375489</v>
      </c>
    </row>
    <row r="6" spans="1:15" x14ac:dyDescent="0.25">
      <c r="A6" t="s">
        <v>7</v>
      </c>
      <c r="B6" t="s">
        <v>54</v>
      </c>
      <c r="C6" s="1">
        <v>28000</v>
      </c>
      <c r="E6" t="s">
        <v>12</v>
      </c>
      <c r="F6" s="3" t="s">
        <v>72</v>
      </c>
      <c r="K6" s="1">
        <f>4*2*PI()*C6*10^-7</f>
        <v>7.0371675440411355E-2</v>
      </c>
    </row>
    <row r="7" spans="1:15" x14ac:dyDescent="0.25">
      <c r="A7" t="s">
        <v>3</v>
      </c>
      <c r="B7" t="s">
        <v>71</v>
      </c>
      <c r="C7" s="1">
        <v>30000</v>
      </c>
      <c r="F7" s="3"/>
    </row>
    <row r="8" spans="1:15" s="3" customFormat="1" x14ac:dyDescent="0.25">
      <c r="A8" t="s">
        <v>73</v>
      </c>
      <c r="B8" s="3" t="s">
        <v>74</v>
      </c>
    </row>
    <row r="9" spans="1:15" x14ac:dyDescent="0.25">
      <c r="A9" s="3" t="s">
        <v>43</v>
      </c>
    </row>
    <row r="10" spans="1:15" x14ac:dyDescent="0.25">
      <c r="A10" t="s">
        <v>44</v>
      </c>
      <c r="B10" t="s">
        <v>46</v>
      </c>
      <c r="C10" s="1">
        <f>C11*C13/(C12*E11)</f>
        <v>7.4999999999999982</v>
      </c>
      <c r="D10" t="s">
        <v>70</v>
      </c>
      <c r="E10">
        <v>10</v>
      </c>
    </row>
    <row r="11" spans="1:15" x14ac:dyDescent="0.25">
      <c r="A11" t="s">
        <v>45</v>
      </c>
      <c r="B11" t="s">
        <v>5</v>
      </c>
      <c r="C11" s="1">
        <v>1.4999999999999999E-4</v>
      </c>
      <c r="D11" t="s">
        <v>79</v>
      </c>
      <c r="E11">
        <v>0.4</v>
      </c>
    </row>
    <row r="12" spans="1:15" x14ac:dyDescent="0.25">
      <c r="A12" t="s">
        <v>66</v>
      </c>
      <c r="B12" t="s">
        <v>63</v>
      </c>
      <c r="C12">
        <f>C23</f>
        <v>2.5000000000000001E-2</v>
      </c>
      <c r="F12">
        <f>1/3*10^-4</f>
        <v>3.3333333333333335E-5</v>
      </c>
    </row>
    <row r="13" spans="1:15" x14ac:dyDescent="0.25">
      <c r="A13" t="s">
        <v>77</v>
      </c>
      <c r="B13" t="s">
        <v>78</v>
      </c>
      <c r="C13">
        <v>500</v>
      </c>
      <c r="E13">
        <f>10^2*2500*4*PI()*10^-7*C12/0.12</f>
        <v>6.5449846949787366E-2</v>
      </c>
    </row>
    <row r="14" spans="1:15" x14ac:dyDescent="0.25">
      <c r="A14" s="3" t="s">
        <v>33</v>
      </c>
      <c r="B14" s="3" t="s">
        <v>81</v>
      </c>
      <c r="D14" s="3" t="s">
        <v>82</v>
      </c>
    </row>
    <row r="15" spans="1:15" x14ac:dyDescent="0.25">
      <c r="A15" t="s">
        <v>34</v>
      </c>
      <c r="B15" s="1">
        <f>B16*B17</f>
        <v>29462782.549439479</v>
      </c>
      <c r="D15" s="1">
        <f>D23*220*26</f>
        <v>143000000</v>
      </c>
      <c r="L15">
        <f>145944*3</f>
        <v>437832</v>
      </c>
    </row>
    <row r="16" spans="1:15" x14ac:dyDescent="0.25">
      <c r="A16" t="s">
        <v>62</v>
      </c>
      <c r="B16">
        <f>(10/(5*0.9)*(500/SQRT(2))*2)</f>
        <v>1571.3484026367721</v>
      </c>
    </row>
    <row r="17" spans="1:10" x14ac:dyDescent="0.25">
      <c r="A17" t="s">
        <v>63</v>
      </c>
      <c r="B17" s="1">
        <f>(C11*500)/(10*0.4)*10^6</f>
        <v>18750</v>
      </c>
    </row>
    <row r="18" spans="1:10" x14ac:dyDescent="0.25">
      <c r="A18" s="4"/>
    </row>
    <row r="19" spans="1:10" x14ac:dyDescent="0.25">
      <c r="A19" s="3" t="s">
        <v>38</v>
      </c>
      <c r="D19" t="s">
        <v>80</v>
      </c>
      <c r="G19" s="3" t="s">
        <v>83</v>
      </c>
    </row>
    <row r="20" spans="1:10" x14ac:dyDescent="0.25">
      <c r="A20" t="s">
        <v>42</v>
      </c>
      <c r="B20" t="s">
        <v>55</v>
      </c>
      <c r="C20">
        <v>5</v>
      </c>
      <c r="F20" t="s">
        <v>101</v>
      </c>
      <c r="G20">
        <f>D30/2+B31+B32</f>
        <v>5.5</v>
      </c>
      <c r="I20" t="s">
        <v>84</v>
      </c>
      <c r="J20">
        <f>D22+1*G21</f>
        <v>111</v>
      </c>
    </row>
    <row r="21" spans="1:10" x14ac:dyDescent="0.25">
      <c r="A21" t="s">
        <v>56</v>
      </c>
      <c r="B21" t="s">
        <v>64</v>
      </c>
      <c r="C21">
        <f>250/1000</f>
        <v>0.25</v>
      </c>
      <c r="D21">
        <f>1000*C21</f>
        <v>250</v>
      </c>
      <c r="F21" t="s">
        <v>102</v>
      </c>
      <c r="G21">
        <f>G20*2</f>
        <v>11</v>
      </c>
      <c r="I21" t="s">
        <v>85</v>
      </c>
      <c r="J21">
        <f>D21+2*G21</f>
        <v>272</v>
      </c>
    </row>
    <row r="22" spans="1:10" x14ac:dyDescent="0.25">
      <c r="A22" t="s">
        <v>57</v>
      </c>
      <c r="B22" t="s">
        <v>65</v>
      </c>
      <c r="C22">
        <f>100/1000</f>
        <v>0.1</v>
      </c>
      <c r="D22">
        <f t="shared" ref="D22:D26" si="0">1000*C22</f>
        <v>100</v>
      </c>
      <c r="I22" t="s">
        <v>86</v>
      </c>
      <c r="J22">
        <f>D22+G21*2</f>
        <v>122</v>
      </c>
    </row>
    <row r="23" spans="1:10" x14ac:dyDescent="0.25">
      <c r="A23" t="s">
        <v>58</v>
      </c>
      <c r="B23" t="s">
        <v>66</v>
      </c>
      <c r="C23">
        <f>C21*C22</f>
        <v>2.5000000000000001E-2</v>
      </c>
      <c r="D23">
        <f>1000*C23*1000</f>
        <v>25000</v>
      </c>
      <c r="I23" t="s">
        <v>87</v>
      </c>
      <c r="J23">
        <f>D21+G21*4</f>
        <v>294</v>
      </c>
    </row>
    <row r="24" spans="1:10" x14ac:dyDescent="0.25">
      <c r="A24" t="s">
        <v>59</v>
      </c>
      <c r="B24" t="s">
        <v>67</v>
      </c>
      <c r="C24">
        <f>C23/2</f>
        <v>1.2500000000000001E-2</v>
      </c>
      <c r="D24">
        <f>1000*C24*1000</f>
        <v>12500</v>
      </c>
      <c r="I24" t="s">
        <v>88</v>
      </c>
      <c r="J24">
        <f>D22+3*G21+G21</f>
        <v>144</v>
      </c>
    </row>
    <row r="25" spans="1:10" x14ac:dyDescent="0.25">
      <c r="A25" t="s">
        <v>60</v>
      </c>
      <c r="B25" t="s">
        <v>68</v>
      </c>
      <c r="C25">
        <f>C21</f>
        <v>0.25</v>
      </c>
      <c r="D25">
        <f t="shared" si="0"/>
        <v>250</v>
      </c>
      <c r="I25" t="s">
        <v>89</v>
      </c>
      <c r="J25">
        <f>D21+6*G21</f>
        <v>316</v>
      </c>
    </row>
    <row r="26" spans="1:10" x14ac:dyDescent="0.25">
      <c r="A26" t="s">
        <v>61</v>
      </c>
      <c r="B26" t="s">
        <v>69</v>
      </c>
      <c r="C26">
        <f>C22/2</f>
        <v>0.05</v>
      </c>
      <c r="D26">
        <f t="shared" si="0"/>
        <v>50</v>
      </c>
      <c r="I26" t="s">
        <v>90</v>
      </c>
      <c r="J26">
        <f>D22+6*G21</f>
        <v>166</v>
      </c>
    </row>
    <row r="27" spans="1:10" x14ac:dyDescent="0.25">
      <c r="I27" t="s">
        <v>91</v>
      </c>
      <c r="J27">
        <f>D21+8*G21</f>
        <v>338</v>
      </c>
    </row>
    <row r="28" spans="1:10" x14ac:dyDescent="0.25">
      <c r="A28" s="3" t="s">
        <v>39</v>
      </c>
      <c r="I28" t="s">
        <v>92</v>
      </c>
    </row>
    <row r="29" spans="1:10" x14ac:dyDescent="0.25">
      <c r="A29" t="s">
        <v>41</v>
      </c>
      <c r="B29">
        <v>12.5</v>
      </c>
      <c r="D29">
        <v>20</v>
      </c>
      <c r="E29">
        <v>25</v>
      </c>
      <c r="I29" t="s">
        <v>93</v>
      </c>
    </row>
    <row r="30" spans="1:10" x14ac:dyDescent="0.25">
      <c r="A30" t="s">
        <v>40</v>
      </c>
      <c r="B30">
        <v>8</v>
      </c>
      <c r="D30">
        <v>5</v>
      </c>
      <c r="E30">
        <v>4</v>
      </c>
      <c r="I30" t="s">
        <v>94</v>
      </c>
    </row>
    <row r="31" spans="1:10" x14ac:dyDescent="0.25">
      <c r="A31" s="3" t="s">
        <v>99</v>
      </c>
      <c r="B31">
        <v>2</v>
      </c>
      <c r="I31" t="s">
        <v>95</v>
      </c>
    </row>
    <row r="32" spans="1:10" x14ac:dyDescent="0.25">
      <c r="A32" t="s">
        <v>100</v>
      </c>
      <c r="B32">
        <v>1</v>
      </c>
      <c r="I32" t="s">
        <v>96</v>
      </c>
    </row>
    <row r="33" spans="1:9" x14ac:dyDescent="0.25">
      <c r="I33" t="s">
        <v>97</v>
      </c>
    </row>
    <row r="34" spans="1:9" x14ac:dyDescent="0.25">
      <c r="D34" s="5"/>
      <c r="I34" t="s">
        <v>98</v>
      </c>
    </row>
    <row r="37" spans="1:9" x14ac:dyDescent="0.25">
      <c r="A37" s="3" t="s">
        <v>103</v>
      </c>
      <c r="B37" s="6">
        <f>(E10^2*B40*B41*C23^2/C11-C23*(B38+B39))*1/((B41-1)*2*C23)*10^3</f>
        <v>10.278887066792697</v>
      </c>
    </row>
    <row r="38" spans="1:9" x14ac:dyDescent="0.25">
      <c r="A38" t="s">
        <v>104</v>
      </c>
      <c r="B38">
        <v>0.36</v>
      </c>
    </row>
    <row r="39" spans="1:9" x14ac:dyDescent="0.25">
      <c r="A39" t="s">
        <v>105</v>
      </c>
      <c r="B39">
        <v>0.626</v>
      </c>
    </row>
    <row r="40" spans="1:9" x14ac:dyDescent="0.25">
      <c r="A40" t="s">
        <v>106</v>
      </c>
      <c r="B40">
        <f>4*PI()*10^-7</f>
        <v>1.2566370614359173E-6</v>
      </c>
    </row>
    <row r="41" spans="1:9" x14ac:dyDescent="0.25">
      <c r="A41" t="s">
        <v>107</v>
      </c>
      <c r="B41">
        <v>2500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E040-2D89-4BAA-9F09-1772101F4909}">
  <dimension ref="A1:Q41"/>
  <sheetViews>
    <sheetView zoomScale="96" zoomScaleNormal="130" workbookViewId="0">
      <selection activeCell="D15" sqref="D15"/>
    </sheetView>
  </sheetViews>
  <sheetFormatPr defaultRowHeight="15" x14ac:dyDescent="0.25"/>
  <cols>
    <col min="1" max="1" width="25.5703125" bestFit="1" customWidth="1"/>
    <col min="2" max="2" width="21.140625" bestFit="1" customWidth="1"/>
    <col min="4" max="4" width="22.42578125" bestFit="1" customWidth="1"/>
    <col min="6" max="6" width="23.42578125" bestFit="1" customWidth="1"/>
    <col min="17" max="17" width="12.42578125" bestFit="1" customWidth="1"/>
  </cols>
  <sheetData>
    <row r="1" spans="1:17" x14ac:dyDescent="0.25">
      <c r="A1" t="s">
        <v>25</v>
      </c>
    </row>
    <row r="2" spans="1:17" x14ac:dyDescent="0.25">
      <c r="A2" t="s">
        <v>9</v>
      </c>
      <c r="B2" t="s">
        <v>47</v>
      </c>
      <c r="C2">
        <v>300000</v>
      </c>
      <c r="E2" t="s">
        <v>30</v>
      </c>
      <c r="F2" t="s">
        <v>50</v>
      </c>
      <c r="G2">
        <f>SQRT((C3^2/8)*(((1/C6)/(2*C11))^2+(PI()/C5)^2))</f>
        <v>335.86394784550583</v>
      </c>
      <c r="I2" s="3" t="s">
        <v>37</v>
      </c>
      <c r="K2">
        <f>ASIN((C3*1/C6)/(4*SQRT(2)*C11*G2))</f>
        <v>0.12564802482418441</v>
      </c>
      <c r="M2">
        <f>K2*180/PI()</f>
        <v>7.1991015265807645</v>
      </c>
    </row>
    <row r="3" spans="1:17" x14ac:dyDescent="0.25">
      <c r="A3" t="s">
        <v>10</v>
      </c>
      <c r="B3" t="s">
        <v>48</v>
      </c>
      <c r="C3">
        <v>1000</v>
      </c>
      <c r="E3" t="s">
        <v>31</v>
      </c>
      <c r="F3" t="s">
        <v>52</v>
      </c>
      <c r="G3" s="1">
        <f>G2</f>
        <v>335.86394784550583</v>
      </c>
      <c r="I3" t="s">
        <v>76</v>
      </c>
      <c r="K3" s="1">
        <f>K2/(2*PI()*C6)</f>
        <v>7.1419658001793302E-7</v>
      </c>
    </row>
    <row r="4" spans="1:17" x14ac:dyDescent="0.25">
      <c r="A4" t="s">
        <v>32</v>
      </c>
      <c r="B4" t="s">
        <v>49</v>
      </c>
      <c r="C4">
        <f>C2/C3</f>
        <v>300</v>
      </c>
      <c r="E4" t="s">
        <v>35</v>
      </c>
      <c r="F4" t="s">
        <v>51</v>
      </c>
      <c r="G4">
        <f>G2*SQRT(2)</f>
        <v>474.98335015528426</v>
      </c>
      <c r="O4">
        <f>ASIN((C3*1/C6)/(4*SQRT(2)*C11*G2))</f>
        <v>0.12564802482418441</v>
      </c>
    </row>
    <row r="5" spans="1:17" x14ac:dyDescent="0.25">
      <c r="A5" t="s">
        <v>11</v>
      </c>
      <c r="B5" t="s">
        <v>75</v>
      </c>
      <c r="C5">
        <f>C3/C4</f>
        <v>3.3333333333333335</v>
      </c>
      <c r="E5" t="s">
        <v>36</v>
      </c>
      <c r="F5" t="s">
        <v>53</v>
      </c>
      <c r="G5" s="1">
        <f>G3*SQRT(2)</f>
        <v>474.98335015528426</v>
      </c>
    </row>
    <row r="6" spans="1:17" x14ac:dyDescent="0.25">
      <c r="A6" t="s">
        <v>7</v>
      </c>
      <c r="B6" t="s">
        <v>54</v>
      </c>
      <c r="C6" s="1">
        <v>28000</v>
      </c>
      <c r="E6" t="s">
        <v>12</v>
      </c>
      <c r="F6" s="3" t="s">
        <v>72</v>
      </c>
      <c r="K6" s="1">
        <f>4*2*PI()*C6*10^-7</f>
        <v>7.0371675440411355E-2</v>
      </c>
    </row>
    <row r="7" spans="1:17" x14ac:dyDescent="0.25">
      <c r="A7" t="s">
        <v>3</v>
      </c>
      <c r="B7" t="s">
        <v>71</v>
      </c>
      <c r="C7" s="1">
        <v>30000</v>
      </c>
      <c r="F7" s="3"/>
    </row>
    <row r="8" spans="1:17" s="3" customFormat="1" x14ac:dyDescent="0.25">
      <c r="A8" t="s">
        <v>73</v>
      </c>
      <c r="B8" s="3" t="s">
        <v>74</v>
      </c>
    </row>
    <row r="9" spans="1:17" x14ac:dyDescent="0.25">
      <c r="A9" s="3" t="s">
        <v>43</v>
      </c>
    </row>
    <row r="10" spans="1:17" x14ac:dyDescent="0.25">
      <c r="A10" t="s">
        <v>44</v>
      </c>
      <c r="B10" t="s">
        <v>46</v>
      </c>
      <c r="C10" s="1">
        <f>C11*C13/(C12*E11)</f>
        <v>7.4999999999999982</v>
      </c>
      <c r="D10" t="s">
        <v>70</v>
      </c>
      <c r="E10">
        <v>8</v>
      </c>
    </row>
    <row r="11" spans="1:17" x14ac:dyDescent="0.25">
      <c r="A11" t="s">
        <v>45</v>
      </c>
      <c r="B11" t="s">
        <v>5</v>
      </c>
      <c r="C11" s="1">
        <v>1.4999999999999999E-4</v>
      </c>
      <c r="D11" t="s">
        <v>79</v>
      </c>
      <c r="E11">
        <v>0.4</v>
      </c>
    </row>
    <row r="12" spans="1:17" x14ac:dyDescent="0.25">
      <c r="A12" t="s">
        <v>66</v>
      </c>
      <c r="B12" t="s">
        <v>63</v>
      </c>
      <c r="C12">
        <f>C23</f>
        <v>2.5000000000000001E-2</v>
      </c>
      <c r="F12">
        <f>1/3*10^-4</f>
        <v>3.3333333333333335E-5</v>
      </c>
    </row>
    <row r="13" spans="1:17" x14ac:dyDescent="0.25">
      <c r="A13" t="s">
        <v>77</v>
      </c>
      <c r="B13" t="s">
        <v>78</v>
      </c>
      <c r="C13">
        <v>500</v>
      </c>
      <c r="E13">
        <f>10^2*2500*4*PI()*10^-7*C12/0.12</f>
        <v>6.5449846949787366E-2</v>
      </c>
      <c r="Q13">
        <f>1/30000/4</f>
        <v>8.3333333333333337E-6</v>
      </c>
    </row>
    <row r="14" spans="1:17" x14ac:dyDescent="0.25">
      <c r="A14" s="3" t="s">
        <v>33</v>
      </c>
      <c r="B14" s="3" t="s">
        <v>81</v>
      </c>
      <c r="D14" s="3" t="s">
        <v>82</v>
      </c>
    </row>
    <row r="15" spans="1:17" x14ac:dyDescent="0.25">
      <c r="A15" t="s">
        <v>34</v>
      </c>
      <c r="B15" s="1">
        <f>B16*B17</f>
        <v>29462782.549439479</v>
      </c>
      <c r="D15" s="1">
        <f>D23*220*26</f>
        <v>143000000</v>
      </c>
      <c r="L15">
        <f>145944*3</f>
        <v>437832</v>
      </c>
    </row>
    <row r="16" spans="1:17" x14ac:dyDescent="0.25">
      <c r="A16" t="s">
        <v>62</v>
      </c>
      <c r="B16">
        <f>(10/(5*0.9)*(500/SQRT(2))*2)</f>
        <v>1571.3484026367721</v>
      </c>
    </row>
    <row r="17" spans="1:10" x14ac:dyDescent="0.25">
      <c r="A17" t="s">
        <v>63</v>
      </c>
      <c r="B17" s="1">
        <f>(C11*500)/(10*0.4)*10^6</f>
        <v>18750</v>
      </c>
    </row>
    <row r="18" spans="1:10" x14ac:dyDescent="0.25">
      <c r="A18" s="4"/>
    </row>
    <row r="19" spans="1:10" x14ac:dyDescent="0.25">
      <c r="A19" s="3" t="s">
        <v>38</v>
      </c>
      <c r="D19" t="s">
        <v>80</v>
      </c>
      <c r="G19" s="3" t="s">
        <v>83</v>
      </c>
    </row>
    <row r="20" spans="1:10" x14ac:dyDescent="0.25">
      <c r="A20" t="s">
        <v>42</v>
      </c>
      <c r="B20" t="s">
        <v>55</v>
      </c>
      <c r="C20">
        <v>5</v>
      </c>
      <c r="F20" t="s">
        <v>101</v>
      </c>
      <c r="G20">
        <f>D30/2+B31+B32</f>
        <v>5.5</v>
      </c>
      <c r="I20" t="s">
        <v>84</v>
      </c>
      <c r="J20">
        <f>D22+1*G21</f>
        <v>111</v>
      </c>
    </row>
    <row r="21" spans="1:10" x14ac:dyDescent="0.25">
      <c r="A21" t="s">
        <v>56</v>
      </c>
      <c r="B21" t="s">
        <v>64</v>
      </c>
      <c r="C21">
        <f>250/1000</f>
        <v>0.25</v>
      </c>
      <c r="D21">
        <f>1000*C21</f>
        <v>250</v>
      </c>
      <c r="F21" t="s">
        <v>102</v>
      </c>
      <c r="G21">
        <f>G20*2</f>
        <v>11</v>
      </c>
      <c r="I21" t="s">
        <v>85</v>
      </c>
      <c r="J21">
        <f>D21+2*G21</f>
        <v>272</v>
      </c>
    </row>
    <row r="22" spans="1:10" x14ac:dyDescent="0.25">
      <c r="A22" t="s">
        <v>57</v>
      </c>
      <c r="B22" t="s">
        <v>65</v>
      </c>
      <c r="C22">
        <f>100/1000</f>
        <v>0.1</v>
      </c>
      <c r="D22">
        <f t="shared" ref="D22:D26" si="0">1000*C22</f>
        <v>100</v>
      </c>
      <c r="I22" t="s">
        <v>86</v>
      </c>
      <c r="J22">
        <f>D22+G21*2</f>
        <v>122</v>
      </c>
    </row>
    <row r="23" spans="1:10" x14ac:dyDescent="0.25">
      <c r="A23" t="s">
        <v>58</v>
      </c>
      <c r="B23" t="s">
        <v>66</v>
      </c>
      <c r="C23">
        <f>C21*C22</f>
        <v>2.5000000000000001E-2</v>
      </c>
      <c r="D23">
        <f>1000*C23*1000</f>
        <v>25000</v>
      </c>
      <c r="I23" t="s">
        <v>87</v>
      </c>
      <c r="J23">
        <f>D21+G21*4</f>
        <v>294</v>
      </c>
    </row>
    <row r="24" spans="1:10" x14ac:dyDescent="0.25">
      <c r="A24" t="s">
        <v>59</v>
      </c>
      <c r="B24" t="s">
        <v>67</v>
      </c>
      <c r="C24">
        <f>C23/2</f>
        <v>1.2500000000000001E-2</v>
      </c>
      <c r="D24">
        <f>1000*C24*1000</f>
        <v>12500</v>
      </c>
      <c r="I24" t="s">
        <v>88</v>
      </c>
      <c r="J24">
        <f>D22+3*G21+G21</f>
        <v>144</v>
      </c>
    </row>
    <row r="25" spans="1:10" x14ac:dyDescent="0.25">
      <c r="A25" t="s">
        <v>60</v>
      </c>
      <c r="B25" t="s">
        <v>68</v>
      </c>
      <c r="C25">
        <f>C21</f>
        <v>0.25</v>
      </c>
      <c r="D25">
        <f t="shared" si="0"/>
        <v>250</v>
      </c>
      <c r="I25" t="s">
        <v>89</v>
      </c>
      <c r="J25">
        <f>D21+6*G21</f>
        <v>316</v>
      </c>
    </row>
    <row r="26" spans="1:10" x14ac:dyDescent="0.25">
      <c r="A26" t="s">
        <v>61</v>
      </c>
      <c r="B26" t="s">
        <v>69</v>
      </c>
      <c r="C26">
        <f>C22/2</f>
        <v>0.05</v>
      </c>
      <c r="D26">
        <f t="shared" si="0"/>
        <v>50</v>
      </c>
      <c r="I26" t="s">
        <v>90</v>
      </c>
      <c r="J26">
        <f>D22+6*G21</f>
        <v>166</v>
      </c>
    </row>
    <row r="27" spans="1:10" x14ac:dyDescent="0.25">
      <c r="I27" t="s">
        <v>91</v>
      </c>
      <c r="J27">
        <f>D21+8*G21</f>
        <v>338</v>
      </c>
    </row>
    <row r="28" spans="1:10" x14ac:dyDescent="0.25">
      <c r="A28" s="3" t="s">
        <v>39</v>
      </c>
      <c r="I28" t="s">
        <v>92</v>
      </c>
    </row>
    <row r="29" spans="1:10" x14ac:dyDescent="0.25">
      <c r="A29" t="s">
        <v>41</v>
      </c>
      <c r="B29">
        <v>12.5</v>
      </c>
      <c r="D29">
        <v>20</v>
      </c>
      <c r="E29">
        <v>25</v>
      </c>
      <c r="I29" t="s">
        <v>93</v>
      </c>
    </row>
    <row r="30" spans="1:10" x14ac:dyDescent="0.25">
      <c r="A30" t="s">
        <v>40</v>
      </c>
      <c r="B30">
        <v>8</v>
      </c>
      <c r="D30">
        <v>5</v>
      </c>
      <c r="E30">
        <v>4</v>
      </c>
      <c r="I30" t="s">
        <v>94</v>
      </c>
    </row>
    <row r="31" spans="1:10" x14ac:dyDescent="0.25">
      <c r="A31" s="3" t="s">
        <v>99</v>
      </c>
      <c r="B31">
        <v>2</v>
      </c>
      <c r="I31" t="s">
        <v>95</v>
      </c>
    </row>
    <row r="32" spans="1:10" x14ac:dyDescent="0.25">
      <c r="A32" t="s">
        <v>100</v>
      </c>
      <c r="B32">
        <v>1</v>
      </c>
      <c r="I32" t="s">
        <v>96</v>
      </c>
    </row>
    <row r="33" spans="1:9" x14ac:dyDescent="0.25">
      <c r="I33" t="s">
        <v>97</v>
      </c>
    </row>
    <row r="34" spans="1:9" x14ac:dyDescent="0.25">
      <c r="D34" s="5"/>
      <c r="I34" t="s">
        <v>98</v>
      </c>
    </row>
    <row r="37" spans="1:9" x14ac:dyDescent="0.25">
      <c r="A37" s="3" t="s">
        <v>103</v>
      </c>
      <c r="B37" s="6">
        <f>(E10^2*B40*B41*C23^2/C11-C23*(B38+B39))*1/((B41-1)*2*C23)*10^3</f>
        <v>6.507467314584062</v>
      </c>
    </row>
    <row r="38" spans="1:9" x14ac:dyDescent="0.25">
      <c r="A38" t="s">
        <v>104</v>
      </c>
      <c r="B38">
        <v>0.36</v>
      </c>
    </row>
    <row r="39" spans="1:9" x14ac:dyDescent="0.25">
      <c r="A39" t="s">
        <v>105</v>
      </c>
      <c r="B39">
        <v>0.626</v>
      </c>
    </row>
    <row r="40" spans="1:9" x14ac:dyDescent="0.25">
      <c r="A40" t="s">
        <v>106</v>
      </c>
      <c r="B40">
        <f>4*PI()*10^-7</f>
        <v>1.2566370614359173E-6</v>
      </c>
    </row>
    <row r="41" spans="1:9" x14ac:dyDescent="0.25">
      <c r="A41" t="s">
        <v>107</v>
      </c>
      <c r="B41">
        <v>2500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1D30-1582-4FCC-8BBD-1338FBE8009F}">
  <dimension ref="A1:D25"/>
  <sheetViews>
    <sheetView workbookViewId="0">
      <selection activeCell="G22" sqref="G22"/>
    </sheetView>
  </sheetViews>
  <sheetFormatPr defaultRowHeight="15" x14ac:dyDescent="0.25"/>
  <cols>
    <col min="1" max="1" width="27.140625" bestFit="1" customWidth="1"/>
  </cols>
  <sheetData>
    <row r="1" spans="1:4" x14ac:dyDescent="0.25">
      <c r="A1" t="s">
        <v>127</v>
      </c>
      <c r="B1">
        <v>10</v>
      </c>
    </row>
    <row r="2" spans="1:4" x14ac:dyDescent="0.25">
      <c r="A2" t="s">
        <v>42</v>
      </c>
      <c r="B2">
        <v>5</v>
      </c>
    </row>
    <row r="3" spans="1:4" x14ac:dyDescent="0.25">
      <c r="A3" t="s">
        <v>129</v>
      </c>
      <c r="B3" t="s">
        <v>132</v>
      </c>
    </row>
    <row r="4" spans="1:4" x14ac:dyDescent="0.25">
      <c r="A4" t="s">
        <v>133</v>
      </c>
      <c r="B4">
        <v>250</v>
      </c>
    </row>
    <row r="5" spans="1:4" x14ac:dyDescent="0.25">
      <c r="A5" t="s">
        <v>137</v>
      </c>
      <c r="B5">
        <v>10</v>
      </c>
    </row>
    <row r="6" spans="1:4" x14ac:dyDescent="0.25">
      <c r="A6" s="3" t="s">
        <v>112</v>
      </c>
    </row>
    <row r="7" spans="1:4" x14ac:dyDescent="0.25">
      <c r="A7" t="s">
        <v>108</v>
      </c>
      <c r="B7">
        <v>5</v>
      </c>
    </row>
    <row r="8" spans="1:4" x14ac:dyDescent="0.25">
      <c r="A8" t="s">
        <v>109</v>
      </c>
      <c r="B8">
        <v>20</v>
      </c>
    </row>
    <row r="9" spans="1:4" x14ac:dyDescent="0.25">
      <c r="A9" t="s">
        <v>110</v>
      </c>
      <c r="B9">
        <v>2</v>
      </c>
    </row>
    <row r="10" spans="1:4" x14ac:dyDescent="0.25">
      <c r="A10" t="s">
        <v>111</v>
      </c>
      <c r="B10">
        <v>1</v>
      </c>
    </row>
    <row r="11" spans="1:4" x14ac:dyDescent="0.25">
      <c r="A11" t="s">
        <v>113</v>
      </c>
      <c r="B11" t="s">
        <v>117</v>
      </c>
    </row>
    <row r="12" spans="1:4" x14ac:dyDescent="0.25">
      <c r="A12" t="s">
        <v>114</v>
      </c>
      <c r="B12" t="s">
        <v>118</v>
      </c>
    </row>
    <row r="14" spans="1:4" x14ac:dyDescent="0.25">
      <c r="A14" s="3" t="s">
        <v>115</v>
      </c>
      <c r="D14" s="3" t="s">
        <v>116</v>
      </c>
    </row>
    <row r="15" spans="1:4" x14ac:dyDescent="0.25">
      <c r="A15" t="s">
        <v>119</v>
      </c>
      <c r="B15">
        <v>100</v>
      </c>
    </row>
    <row r="16" spans="1:4" x14ac:dyDescent="0.25">
      <c r="A16" t="s">
        <v>120</v>
      </c>
      <c r="B16" t="s">
        <v>121</v>
      </c>
    </row>
    <row r="17" spans="1:2" x14ac:dyDescent="0.25">
      <c r="A17" t="s">
        <v>122</v>
      </c>
      <c r="B17">
        <v>10</v>
      </c>
    </row>
    <row r="18" spans="1:2" x14ac:dyDescent="0.25">
      <c r="A18" t="s">
        <v>125</v>
      </c>
      <c r="B18">
        <v>8</v>
      </c>
    </row>
    <row r="19" spans="1:2" x14ac:dyDescent="0.25">
      <c r="A19" t="s">
        <v>124</v>
      </c>
      <c r="B19" t="s">
        <v>126</v>
      </c>
    </row>
    <row r="20" spans="1:2" x14ac:dyDescent="0.25">
      <c r="A20" t="s">
        <v>123</v>
      </c>
      <c r="B20" t="s">
        <v>134</v>
      </c>
    </row>
    <row r="21" spans="1:2" x14ac:dyDescent="0.25">
      <c r="A21" t="s">
        <v>128</v>
      </c>
      <c r="B21" t="s">
        <v>130</v>
      </c>
    </row>
    <row r="22" spans="1:2" x14ac:dyDescent="0.25">
      <c r="A22" t="s">
        <v>131</v>
      </c>
      <c r="B22">
        <v>49</v>
      </c>
    </row>
    <row r="24" spans="1:2" x14ac:dyDescent="0.25">
      <c r="A24" s="3" t="s">
        <v>135</v>
      </c>
    </row>
    <row r="25" spans="1:2" x14ac:dyDescent="0.25">
      <c r="A25" t="s">
        <v>136</v>
      </c>
      <c r="B25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Presentation Material</vt:lpstr>
      <vt:lpstr>Sheet2</vt:lpstr>
      <vt:lpstr>Transformer Parameters 10 turns</vt:lpstr>
      <vt:lpstr>Transformer Parameters8 turns</vt:lpstr>
      <vt:lpstr>solidworks variables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Karl Raymond Dela Cruz</dc:creator>
  <cp:lastModifiedBy>ROQUE Karl Raymond Dela Cruz</cp:lastModifiedBy>
  <cp:lastPrinted>2025-02-15T08:51:25Z</cp:lastPrinted>
  <dcterms:created xsi:type="dcterms:W3CDTF">2024-12-03T23:35:56Z</dcterms:created>
  <dcterms:modified xsi:type="dcterms:W3CDTF">2026-01-08T07:03:16Z</dcterms:modified>
</cp:coreProperties>
</file>